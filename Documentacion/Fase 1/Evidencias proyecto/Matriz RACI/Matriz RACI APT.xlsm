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cursos por Actividad" sheetId="1" r:id="rId4"/>
    <sheet state="visible" name="Instrucciones" sheetId="2" r:id="rId5"/>
    <sheet state="visible" name="Resumen RACI" sheetId="3" r:id="rId6"/>
  </sheets>
  <definedNames/>
  <calcPr/>
  <extLst>
    <ext uri="GoogleSheetsCustomDataVersion2">
      <go:sheetsCustomData xmlns:go="http://customooxmlschemas.google.com/" r:id="rId7" roundtripDataChecksum="mmGOdIgDjHB2axPYF+KhfnWjL1Q7B67RSx+AsIIrTok="/>
    </ext>
  </extLst>
</workbook>
</file>

<file path=xl/sharedStrings.xml><?xml version="1.0" encoding="utf-8"?>
<sst xmlns="http://schemas.openxmlformats.org/spreadsheetml/2006/main" count="185" uniqueCount="92">
  <si>
    <t>Actividades y colaboradores</t>
  </si>
  <si>
    <t>Matriz de asignación de responsabilidades (RACI)</t>
  </si>
  <si>
    <t>Columna</t>
  </si>
  <si>
    <t>Actividad</t>
  </si>
  <si>
    <t>Instrucciones</t>
  </si>
  <si>
    <t>Roles / Responsabilidades</t>
  </si>
  <si>
    <t>ID Actividad</t>
  </si>
  <si>
    <t>Ivan Tamayo</t>
  </si>
  <si>
    <t>Se ingresa aquí el identificador (ID) de la actividad de proyecto, con el mismo número utilizado para identificar la actividad o paquete de trabajo en los documentos de proyecto.</t>
  </si>
  <si>
    <t>Rodrigo Romero</t>
  </si>
  <si>
    <t>Richard Diaz</t>
  </si>
  <si>
    <t>A-01</t>
  </si>
  <si>
    <t>Se coloca el nombre completo de la actividad (Por ej. "Realizar levantamiento de información", "Elaborar Diseño Técnico", "Desarrollar Componente Java 001").</t>
  </si>
  <si>
    <t>Colaboradores</t>
  </si>
  <si>
    <t>Sustituir el texto de cada columbra de "Colaborador", con el nombre y apellido del integrante del equipo de proyecto que se asignará responsabilidades (Ej. Luis González, Alberto García, María Hernández).</t>
  </si>
  <si>
    <t>Planificación y coordinación general del proyecto</t>
  </si>
  <si>
    <t>R/A</t>
  </si>
  <si>
    <t>C</t>
  </si>
  <si>
    <t>A-02</t>
  </si>
  <si>
    <r>
      <rPr>
        <rFont val="Calibri"/>
        <color theme="1"/>
        <sz val="11.0"/>
      </rPr>
      <t xml:space="preserve">En cada renglón (fila) especificar el tipo de responsabilidad asociado al colaborador de la columna, con los siguientes valores posibles: </t>
    </r>
    <r>
      <rPr>
        <rFont val="Calibri"/>
        <b/>
        <color theme="1"/>
        <sz val="11.0"/>
      </rPr>
      <t xml:space="preserve">R: </t>
    </r>
    <r>
      <rPr>
        <rFont val="Calibri"/>
        <color theme="1"/>
        <sz val="11.0"/>
      </rPr>
      <t xml:space="preserve">Responsable, </t>
    </r>
    <r>
      <rPr>
        <rFont val="Calibri"/>
        <b/>
        <color theme="1"/>
        <sz val="11.0"/>
      </rPr>
      <t>A:</t>
    </r>
    <r>
      <rPr>
        <rFont val="Calibri"/>
        <color theme="1"/>
        <sz val="11.0"/>
      </rPr>
      <t xml:space="preserve"> Aprobador, </t>
    </r>
    <r>
      <rPr>
        <rFont val="Calibri"/>
        <b/>
        <color theme="1"/>
        <sz val="11.0"/>
      </rPr>
      <t>C:</t>
    </r>
    <r>
      <rPr>
        <rFont val="Calibri"/>
        <color theme="1"/>
        <sz val="11.0"/>
      </rPr>
      <t xml:space="preserve"> Consultado, </t>
    </r>
    <r>
      <rPr>
        <rFont val="Calibri"/>
        <b/>
        <color theme="1"/>
        <sz val="11.0"/>
      </rPr>
      <t>I:</t>
    </r>
    <r>
      <rPr>
        <rFont val="Calibri"/>
        <color theme="1"/>
        <sz val="11.0"/>
      </rPr>
      <t xml:space="preserve"> Informado.</t>
    </r>
  </si>
  <si>
    <t>Levantamiento y validación de requerimientos RF/RNF</t>
  </si>
  <si>
    <t>Roles y Responsabilidades</t>
  </si>
  <si>
    <t>Rol / Responsabilidad</t>
  </si>
  <si>
    <t>Descripción</t>
  </si>
  <si>
    <t>A-03</t>
  </si>
  <si>
    <t xml:space="preserve">R </t>
  </si>
  <si>
    <t>Elaboración y mantenimiento de la ERS</t>
  </si>
  <si>
    <r>
      <rPr>
        <rFont val="Calibri"/>
        <b/>
        <color theme="1"/>
        <sz val="11.0"/>
      </rPr>
      <t>Responsable:</t>
    </r>
    <r>
      <rPr>
        <rFont val="Calibri"/>
        <color theme="1"/>
        <sz val="11.0"/>
      </rPr>
      <t xml:space="preserve"> Este rol es el que realiza (ejecuta) el trabajo asociado con la actividad, lo habitual es que cada actividad tenga un solo "R", si existe más de uno es recomendable subdividir la actividad.</t>
    </r>
  </si>
  <si>
    <t>I</t>
  </si>
  <si>
    <t>A</t>
  </si>
  <si>
    <r>
      <rPr>
        <rFont val="Calibri"/>
        <b/>
        <color theme="1"/>
        <sz val="11.0"/>
      </rPr>
      <t>Aprobador:</t>
    </r>
    <r>
      <rPr>
        <rFont val="Calibri"/>
        <color theme="1"/>
        <sz val="11.0"/>
      </rPr>
      <t xml:space="preserve"> Es el encargado de aprobar (firmar), el trabajo realizado, a partir de esa aprobación, este se vuelve responsable por la actividad. Como regla general debe existir un solo "A" por actividad. Este rol es quien asegura que se ejecutan las tareas, por ejemplo Líderes de área técnica, área de gestión de proyecto, entre otros.</t>
    </r>
  </si>
  <si>
    <t>A-04</t>
  </si>
  <si>
    <t>Definición de Historias de Usuario y criterios de aceptación</t>
  </si>
  <si>
    <r>
      <rPr>
        <rFont val="Calibri"/>
        <b/>
        <color theme="1"/>
        <sz val="11.0"/>
      </rPr>
      <t xml:space="preserve">Consultado: </t>
    </r>
    <r>
      <rPr>
        <rFont val="Calibri"/>
        <color theme="1"/>
        <sz val="11.0"/>
      </rPr>
      <t>Posee alguna información o capacidad que se necesita para mantener el trabajo. Se le informa y consulta información, de manera bidireccional con el responsable y/o aprobador.</t>
    </r>
  </si>
  <si>
    <t>A-05</t>
  </si>
  <si>
    <r>
      <rPr>
        <rFont val="Calibri"/>
        <b/>
        <color theme="1"/>
        <sz val="11.0"/>
      </rPr>
      <t xml:space="preserve">Informado: </t>
    </r>
    <r>
      <rPr>
        <rFont val="Calibri"/>
        <color theme="1"/>
        <sz val="11.0"/>
      </rPr>
      <t>Rol que debe ser informado sobre el progreso y los resultados del trabajo. En este caso la comunicación es unidireccional (se le da información pero no se recibe información).</t>
    </r>
  </si>
  <si>
    <t>Elaboración del Product Vision</t>
  </si>
  <si>
    <t>Responsable / Aprobador: Se utiliza cuando la misma persona ejecuta la actividad y además posee la responsabilidad de aprobar o validar formalmente su resultado. En esta matriz se aplica principalmente al Jefe de Proyecto / Scrum Master cuando corresponde.</t>
  </si>
  <si>
    <t>A-06</t>
  </si>
  <si>
    <t>Priorización y mantenimiento del Product Backlog</t>
  </si>
  <si>
    <t>A-07</t>
  </si>
  <si>
    <t>Planificación y mantenimiento del Sprint Backlog</t>
  </si>
  <si>
    <t>A-08</t>
  </si>
  <si>
    <t>Definición y control de la Definition of Done (DoD)</t>
  </si>
  <si>
    <t>R</t>
  </si>
  <si>
    <t>A-09</t>
  </si>
  <si>
    <t>Elaboración y seguimiento de la Carta Gantt</t>
  </si>
  <si>
    <t>A-10</t>
  </si>
  <si>
    <t>Gestión y seguimiento de la Matriz de Riesgos</t>
  </si>
  <si>
    <t>A-11</t>
  </si>
  <si>
    <t>Gestión y actualización de la Matriz RACI</t>
  </si>
  <si>
    <t>A-12</t>
  </si>
  <si>
    <t>Diseño y mantenimiento del Modelo de Datos / DER</t>
  </si>
  <si>
    <t>A-13</t>
  </si>
  <si>
    <t>Diseño de la Arquitectura de Software</t>
  </si>
  <si>
    <t>A-14</t>
  </si>
  <si>
    <t>Diseño de mockups, interfaz y experiencia de usuario</t>
  </si>
  <si>
    <t>A-15</t>
  </si>
  <si>
    <t>Desarrollo del Frontend React / UX-UI</t>
  </si>
  <si>
    <t>A-16</t>
  </si>
  <si>
    <t>Desarrollo Backend: autenticación, usuarios y datos base</t>
  </si>
  <si>
    <t>A-17</t>
  </si>
  <si>
    <t>Desarrollo Backend: módulos y servicios complementarios</t>
  </si>
  <si>
    <t>A-18</t>
  </si>
  <si>
    <t>Diseño, implementación y mantenimiento de MySQL</t>
  </si>
  <si>
    <t>A-19</t>
  </si>
  <si>
    <t>Integración Frontend ↔ Backend mediante API REST</t>
  </si>
  <si>
    <t>A-20</t>
  </si>
  <si>
    <t>Configuración de Docker y ambiente de ejecución</t>
  </si>
  <si>
    <t>A-21</t>
  </si>
  <si>
    <t>Integración del chatbot FAQ con Gemini API</t>
  </si>
  <si>
    <t>A-22</t>
  </si>
  <si>
    <t>Implementación de dashboards e indicadores agregados</t>
  </si>
  <si>
    <t>A-23</t>
  </si>
  <si>
    <t>Ejecución de pruebas funcionales, integración y regresión</t>
  </si>
  <si>
    <t>A-24</t>
  </si>
  <si>
    <t>Validación de seguridad, privacidad, roles y permisos</t>
  </si>
  <si>
    <t>A-25</t>
  </si>
  <si>
    <t>Administración del repositorio oficial GitHub</t>
  </si>
  <si>
    <t>A-26</t>
  </si>
  <si>
    <t>Documentación técnica, manuales y evidencias del proyecto</t>
  </si>
  <si>
    <t>A-27</t>
  </si>
  <si>
    <t>Preparación de presentación, demo y entrega final</t>
  </si>
  <si>
    <t>RESUMEN DE ASIGNACIÓN RACI — PROYECTO APT</t>
  </si>
  <si>
    <t>Colaborador</t>
  </si>
  <si>
    <t>Código</t>
  </si>
  <si>
    <t>Significado</t>
  </si>
  <si>
    <t>Responsable: ejecuta el trabajo.</t>
  </si>
  <si>
    <t>Aprobador: valida y responde por el resultado.</t>
  </si>
  <si>
    <t>Consultado: aporta información o criterio.</t>
  </si>
  <si>
    <t>Informado: recibe información sobre avance o resultado.</t>
  </si>
  <si>
    <t>Responsable y Aprobador en una misma actividad.</t>
  </si>
</sst>
</file>

<file path=xl/styles.xml><?xml version="1.0" encoding="utf-8"?>
<styleSheet xmlns="http://schemas.openxmlformats.org/spreadsheetml/2006/main" xmlns:x14ac="http://schemas.microsoft.com/office/spreadsheetml/2009/9/ac" xmlns:mc="http://schemas.openxmlformats.org/markup-compatibility/2006">
  <fonts count="10">
    <font>
      <sz val="11.0"/>
      <color theme="1"/>
      <name val="Calibri"/>
      <scheme val="minor"/>
    </font>
    <font>
      <b/>
      <sz val="11.0"/>
      <color theme="1"/>
      <name val="Calibri"/>
    </font>
    <font>
      <sz val="11.0"/>
      <color theme="1"/>
      <name val="Calibri"/>
    </font>
    <font>
      <b/>
      <sz val="20.0"/>
      <color theme="1"/>
      <name val="Calibri"/>
    </font>
    <font>
      <sz val="11.0"/>
      <color theme="0"/>
      <name val="Calibri"/>
    </font>
    <font/>
    <font>
      <sz val="10.0"/>
      <color theme="1"/>
      <name val="Calibri"/>
    </font>
    <font>
      <b/>
      <sz val="14.0"/>
      <color rgb="FFFFFFFF"/>
      <name val="Calibri"/>
    </font>
    <font>
      <b/>
      <sz val="11.0"/>
      <color rgb="FF1F497D"/>
      <name val="Calibri"/>
    </font>
    <font>
      <b/>
      <sz val="11.0"/>
      <color rgb="FFFFFFFF"/>
      <name val="Calibri"/>
    </font>
  </fonts>
  <fills count="6">
    <fill>
      <patternFill patternType="none"/>
    </fill>
    <fill>
      <patternFill patternType="lightGray"/>
    </fill>
    <fill>
      <patternFill patternType="solid">
        <fgColor theme="0"/>
        <bgColor theme="0"/>
      </patternFill>
    </fill>
    <fill>
      <patternFill patternType="solid">
        <fgColor rgb="FF1F497D"/>
        <bgColor rgb="FF1F497D"/>
      </patternFill>
    </fill>
    <fill>
      <patternFill patternType="solid">
        <fgColor rgb="FFF3F6F9"/>
        <bgColor rgb="FFF3F6F9"/>
      </patternFill>
    </fill>
    <fill>
      <patternFill patternType="solid">
        <fgColor rgb="FFD9EAF7"/>
        <bgColor rgb="FFD9EAF7"/>
      </patternFill>
    </fill>
  </fills>
  <borders count="7">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top style="thin">
        <color rgb="FF000000"/>
      </top>
      <bottom style="thin">
        <color rgb="FF000000"/>
      </bottom>
    </border>
    <border>
      <left style="thin">
        <color rgb="FFBFBFBF"/>
      </left>
      <top style="thin">
        <color rgb="FFBFBFBF"/>
      </top>
      <bottom style="thin">
        <color rgb="FFBFBFBF"/>
      </bottom>
    </border>
    <border>
      <right style="thin">
        <color rgb="FFBFBFBF"/>
      </right>
      <top style="thin">
        <color rgb="FFBFBFBF"/>
      </top>
      <bottom style="thin">
        <color rgb="FFBFBFBF"/>
      </bottom>
    </border>
  </borders>
  <cellStyleXfs count="1">
    <xf borderId="0" fillId="0" fontId="0" numFmtId="0" applyAlignment="1" applyFont="1"/>
  </cellStyleXfs>
  <cellXfs count="25">
    <xf borderId="0" fillId="0" fontId="0" numFmtId="0" xfId="0" applyAlignment="1" applyFont="1">
      <alignment readingOrder="0" shrinkToFit="0" vertical="bottom" wrapText="0"/>
    </xf>
    <xf borderId="0" fillId="2" fontId="1" numFmtId="0" xfId="0" applyFill="1" applyFont="1"/>
    <xf borderId="0" fillId="2" fontId="2" numFmtId="0" xfId="0" applyFill="1" applyFont="1"/>
    <xf borderId="0" fillId="0" fontId="3" numFmtId="0" xfId="0" applyAlignment="1" applyFont="1">
      <alignment horizontal="center" vertical="center"/>
    </xf>
    <xf borderId="1" fillId="3" fontId="4" numFmtId="0" xfId="0" applyBorder="1" applyFill="1" applyFont="1"/>
    <xf borderId="2" fillId="3" fontId="4" numFmtId="0" xfId="0" applyAlignment="1" applyBorder="1" applyFill="1" applyFont="1">
      <alignment horizontal="left"/>
    </xf>
    <xf borderId="3" fillId="0" fontId="5" numFmtId="0" xfId="0" applyBorder="1" applyFont="1"/>
    <xf borderId="4" fillId="0" fontId="5" numFmtId="0" xfId="0" applyBorder="1" applyFont="1"/>
    <xf borderId="1" fillId="3" fontId="4" numFmtId="0" xfId="0" applyAlignment="1" applyBorder="1" applyFill="1" applyFont="1">
      <alignment horizontal="center"/>
    </xf>
    <xf borderId="1" fillId="2" fontId="2" numFmtId="0" xfId="0" applyAlignment="1" applyBorder="1" applyFill="1" applyFont="1">
      <alignment horizontal="left" shrinkToFit="0" vertical="top" wrapText="1"/>
    </xf>
    <xf borderId="1" fillId="2" fontId="6" numFmtId="0" xfId="0" applyAlignment="1" applyBorder="1" applyFill="1" applyFont="1">
      <alignment horizontal="center" shrinkToFit="0" vertical="center" wrapText="1"/>
    </xf>
    <xf borderId="1" fillId="2" fontId="6" numFmtId="0" xfId="0" applyAlignment="1" applyBorder="1" applyFill="1" applyFont="1">
      <alignment shrinkToFit="0" vertical="center" wrapText="1"/>
    </xf>
    <xf borderId="1" fillId="4" fontId="6" numFmtId="0" xfId="0" applyAlignment="1" applyBorder="1" applyFill="1" applyFont="1">
      <alignment horizontal="center" shrinkToFit="0" vertical="center" wrapText="1"/>
    </xf>
    <xf borderId="1" fillId="4" fontId="6" numFmtId="0" xfId="0" applyAlignment="1" applyBorder="1" applyFill="1" applyFont="1">
      <alignment shrinkToFit="0" vertical="center" wrapText="1"/>
    </xf>
    <xf borderId="5" fillId="2" fontId="2" numFmtId="0" xfId="0" applyAlignment="1" applyBorder="1" applyFill="1" applyFont="1">
      <alignment shrinkToFit="0" vertical="top" wrapText="1"/>
    </xf>
    <xf borderId="6" fillId="2" fontId="2" numFmtId="0" xfId="0" applyAlignment="1" applyBorder="1" applyFill="1" applyFont="1">
      <alignment shrinkToFit="0" vertical="top" wrapText="1"/>
    </xf>
    <xf borderId="1" fillId="0" fontId="6" numFmtId="0" xfId="0" applyAlignment="1" applyBorder="1" applyFont="1">
      <alignment horizontal="center" shrinkToFit="0" vertical="center" wrapText="1"/>
    </xf>
    <xf borderId="1" fillId="0" fontId="6" numFmtId="0" xfId="0" applyAlignment="1" applyBorder="1" applyFont="1">
      <alignment shrinkToFit="0" vertical="center" wrapText="1"/>
    </xf>
    <xf borderId="0" fillId="3" fontId="7" numFmtId="0" xfId="0" applyAlignment="1" applyFill="1" applyFont="1">
      <alignment horizontal="center" vertical="center"/>
    </xf>
    <xf borderId="0" fillId="5" fontId="8" numFmtId="0" xfId="0" applyAlignment="1" applyFill="1" applyFont="1">
      <alignment horizontal="center"/>
    </xf>
    <xf borderId="0" fillId="0" fontId="1" numFmtId="0" xfId="0" applyAlignment="1" applyFont="1">
      <alignment horizontal="center"/>
    </xf>
    <xf borderId="0" fillId="0" fontId="2" numFmtId="0" xfId="0" applyAlignment="1" applyFont="1">
      <alignment horizontal="center"/>
    </xf>
    <xf borderId="0" fillId="3" fontId="9" numFmtId="0" xfId="0" applyAlignment="1" applyFill="1" applyFont="1">
      <alignment horizontal="center"/>
    </xf>
    <xf borderId="0" fillId="0" fontId="2" numFmtId="0" xfId="0" applyFont="1"/>
    <xf borderId="0" fillId="0" fontId="2" numFmtId="0" xfId="0" applyAlignment="1" applyFont="1">
      <alignment shrinkToFit="0" wrapText="1"/>
    </xf>
  </cellXfs>
  <cellStyles count="1">
    <cellStyle xfId="0" name="Normal" builtinId="0"/>
  </cellStyles>
  <dxfs count="5">
    <dxf>
      <font>
        <b/>
        <color rgb="FF274E13"/>
      </font>
      <fill>
        <patternFill patternType="solid">
          <fgColor rgb="FFD9EAD3"/>
          <bgColor rgb="FFD9EAD3"/>
        </patternFill>
      </fill>
      <border/>
    </dxf>
    <dxf>
      <font>
        <b/>
        <color rgb="FF1F4E78"/>
      </font>
      <fill>
        <patternFill patternType="solid">
          <fgColor rgb="FFD9EAF7"/>
          <bgColor rgb="FFD9EAF7"/>
        </patternFill>
      </fill>
      <border/>
    </dxf>
    <dxf>
      <font>
        <b/>
        <color rgb="FF7F6000"/>
      </font>
      <fill>
        <patternFill patternType="solid">
          <fgColor rgb="FFFFF2CC"/>
          <bgColor rgb="FFFFF2CC"/>
        </patternFill>
      </fill>
      <border/>
    </dxf>
    <dxf>
      <font>
        <b/>
        <color rgb="FF595959"/>
      </font>
      <fill>
        <patternFill patternType="solid">
          <fgColor rgb="FFE7E6E6"/>
          <bgColor rgb="FFE7E6E6"/>
        </patternFill>
      </fill>
      <border/>
    </dxf>
    <dxf>
      <font>
        <b/>
        <color rgb="FF843C0C"/>
      </font>
      <fill>
        <patternFill patternType="solid">
          <fgColor rgb="FFFCE4D6"/>
          <bgColor rgb="FFFCE4D6"/>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Distribución de responsabilidades</a:t>
            </a:r>
          </a:p>
        </c:rich>
      </c:tx>
      <c:overlay val="0"/>
    </c:title>
    <c:plotArea>
      <c:layout/>
      <c:barChart>
        <c:barDir val="col"/>
        <c:ser>
          <c:idx val="0"/>
          <c:order val="0"/>
          <c:tx>
            <c:v>R</c:v>
          </c:tx>
          <c:spPr>
            <a:solidFill>
              <a:schemeClr val="accent1"/>
            </a:solidFill>
            <a:ln cmpd="sng">
              <a:noFill/>
            </a:ln>
          </c:spPr>
          <c:cat>
            <c:strRef>
              <c:f>'Resumen RACI'!$A$4:$A$6</c:f>
            </c:strRef>
          </c:cat>
          <c:val>
            <c:numRef>
              <c:f>'Resumen RACI'!$B$4:$B$6</c:f>
              <c:numCache/>
            </c:numRef>
          </c:val>
        </c:ser>
        <c:ser>
          <c:idx val="1"/>
          <c:order val="1"/>
          <c:tx>
            <c:v>A</c:v>
          </c:tx>
          <c:spPr>
            <a:solidFill>
              <a:schemeClr val="accent2"/>
            </a:solidFill>
            <a:ln cmpd="sng">
              <a:noFill/>
            </a:ln>
          </c:spPr>
          <c:cat>
            <c:strRef>
              <c:f>'Resumen RACI'!$A$4:$A$6</c:f>
            </c:strRef>
          </c:cat>
          <c:val>
            <c:numRef>
              <c:f>'Resumen RACI'!$C$4:$C$6</c:f>
              <c:numCache/>
            </c:numRef>
          </c:val>
        </c:ser>
        <c:ser>
          <c:idx val="2"/>
          <c:order val="2"/>
          <c:tx>
            <c:v>C</c:v>
          </c:tx>
          <c:spPr>
            <a:solidFill>
              <a:schemeClr val="accent3"/>
            </a:solidFill>
            <a:ln cmpd="sng">
              <a:noFill/>
            </a:ln>
          </c:spPr>
          <c:cat>
            <c:strRef>
              <c:f>'Resumen RACI'!$A$4:$A$6</c:f>
            </c:strRef>
          </c:cat>
          <c:val>
            <c:numRef>
              <c:f>'Resumen RACI'!$D$4:$D$6</c:f>
              <c:numCache/>
            </c:numRef>
          </c:val>
        </c:ser>
        <c:ser>
          <c:idx val="3"/>
          <c:order val="3"/>
          <c:tx>
            <c:v>I</c:v>
          </c:tx>
          <c:spPr>
            <a:solidFill>
              <a:schemeClr val="accent4"/>
            </a:solidFill>
            <a:ln cmpd="sng">
              <a:noFill/>
            </a:ln>
          </c:spPr>
          <c:cat>
            <c:strRef>
              <c:f>'Resumen RACI'!$A$4:$A$6</c:f>
            </c:strRef>
          </c:cat>
          <c:val>
            <c:numRef>
              <c:f>'Resumen RACI'!$E$4:$E$6</c:f>
              <c:numCache/>
            </c:numRef>
          </c:val>
        </c:ser>
        <c:axId val="2089965341"/>
        <c:axId val="395280750"/>
      </c:barChart>
      <c:catAx>
        <c:axId val="208996534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395280750"/>
      </c:catAx>
      <c:valAx>
        <c:axId val="39528075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tickLblPos val="nextTo"/>
        <c:spPr>
          <a:ln>
            <a:noFill/>
          </a:ln>
        </c:spPr>
        <c:txPr>
          <a:bodyPr/>
          <a:lstStyle/>
          <a:p>
            <a:pPr lvl="0">
              <a:defRPr b="0">
                <a:solidFill>
                  <a:srgbClr val="000000"/>
                </a:solidFill>
                <a:latin typeface="+mn-lt"/>
              </a:defRPr>
            </a:pPr>
          </a:p>
        </c:txPr>
        <c:crossAx val="2089965341"/>
      </c:valAx>
    </c:plotArea>
    <c:legend>
      <c:legendPos val="b"/>
      <c:overlay val="0"/>
      <c:txPr>
        <a:bodyPr/>
        <a:lstStyle/>
        <a:p>
          <a:pPr lvl="0">
            <a:defRPr b="0">
              <a:solidFill>
                <a:srgbClr val="1A1A1A"/>
              </a:solidFill>
              <a:latin typeface="+mn-lt"/>
            </a:defRPr>
          </a:pPr>
        </a:p>
      </c:txPr>
    </c:legend>
    <c:plotVisOnly val="1"/>
  </c:chart>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2</xdr:row>
      <xdr:rowOff>0</xdr:rowOff>
    </xdr:from>
    <xdr:ext cx="4648200" cy="2800350"/>
    <xdr:graphicFrame>
      <xdr:nvGraphicFramePr>
        <xdr:cNvPr id="537103959"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3.0"/>
    <col customWidth="1" min="2" max="2" width="52.0"/>
    <col customWidth="1" min="3" max="5" width="22.0"/>
    <col customWidth="1" min="6" max="26" width="8.86"/>
  </cols>
  <sheetData>
    <row r="1" ht="14.25" customHeight="1"/>
    <row r="2" ht="22.5" customHeight="1">
      <c r="A2" s="3" t="s">
        <v>1</v>
      </c>
    </row>
    <row r="3" ht="22.5" customHeight="1"/>
    <row r="4" ht="22.5" customHeight="1"/>
    <row r="5" ht="22.5" customHeight="1">
      <c r="A5" s="5" t="s">
        <v>3</v>
      </c>
      <c r="B5" s="6"/>
      <c r="C5" s="5" t="s">
        <v>5</v>
      </c>
      <c r="D5" s="7"/>
      <c r="E5" s="6"/>
    </row>
    <row r="6" ht="22.5" customHeight="1">
      <c r="A6" s="8" t="s">
        <v>6</v>
      </c>
      <c r="B6" s="8" t="s">
        <v>3</v>
      </c>
      <c r="C6" s="8" t="s">
        <v>7</v>
      </c>
      <c r="D6" s="8" t="s">
        <v>9</v>
      </c>
      <c r="E6" s="8" t="s">
        <v>10</v>
      </c>
    </row>
    <row r="7" ht="14.25" customHeight="1">
      <c r="A7" s="10" t="s">
        <v>11</v>
      </c>
      <c r="B7" s="11" t="s">
        <v>15</v>
      </c>
      <c r="C7" s="10" t="s">
        <v>16</v>
      </c>
      <c r="D7" s="10" t="s">
        <v>17</v>
      </c>
      <c r="E7" s="10" t="s">
        <v>17</v>
      </c>
    </row>
    <row r="8" ht="14.25" customHeight="1">
      <c r="A8" s="12" t="s">
        <v>18</v>
      </c>
      <c r="B8" s="13" t="s">
        <v>20</v>
      </c>
      <c r="C8" s="12" t="s">
        <v>16</v>
      </c>
      <c r="D8" s="12" t="s">
        <v>17</v>
      </c>
      <c r="E8" s="12" t="s">
        <v>17</v>
      </c>
    </row>
    <row r="9" ht="14.25" customHeight="1">
      <c r="A9" s="10" t="s">
        <v>24</v>
      </c>
      <c r="B9" s="11" t="s">
        <v>26</v>
      </c>
      <c r="C9" s="10" t="s">
        <v>16</v>
      </c>
      <c r="D9" s="10" t="s">
        <v>28</v>
      </c>
      <c r="E9" s="10" t="s">
        <v>17</v>
      </c>
    </row>
    <row r="10" ht="14.25" customHeight="1">
      <c r="A10" s="12" t="s">
        <v>31</v>
      </c>
      <c r="B10" s="13" t="s">
        <v>32</v>
      </c>
      <c r="C10" s="12" t="s">
        <v>16</v>
      </c>
      <c r="D10" s="12" t="s">
        <v>17</v>
      </c>
      <c r="E10" s="12" t="s">
        <v>17</v>
      </c>
    </row>
    <row r="11" ht="14.25" customHeight="1">
      <c r="A11" s="10" t="s">
        <v>34</v>
      </c>
      <c r="B11" s="11" t="s">
        <v>36</v>
      </c>
      <c r="C11" s="10" t="s">
        <v>16</v>
      </c>
      <c r="D11" s="10" t="s">
        <v>17</v>
      </c>
      <c r="E11" s="10" t="s">
        <v>17</v>
      </c>
    </row>
    <row r="12" ht="14.25" customHeight="1">
      <c r="A12" s="12" t="s">
        <v>38</v>
      </c>
      <c r="B12" s="13" t="s">
        <v>39</v>
      </c>
      <c r="C12" s="12" t="s">
        <v>16</v>
      </c>
      <c r="D12" s="12" t="s">
        <v>17</v>
      </c>
      <c r="E12" s="12" t="s">
        <v>17</v>
      </c>
    </row>
    <row r="13" ht="14.25" customHeight="1">
      <c r="A13" s="10" t="s">
        <v>40</v>
      </c>
      <c r="B13" s="11" t="s">
        <v>41</v>
      </c>
      <c r="C13" s="10" t="s">
        <v>16</v>
      </c>
      <c r="D13" s="10" t="s">
        <v>17</v>
      </c>
      <c r="E13" s="10" t="s">
        <v>17</v>
      </c>
    </row>
    <row r="14" ht="14.25" customHeight="1">
      <c r="A14" s="12" t="s">
        <v>42</v>
      </c>
      <c r="B14" s="13" t="s">
        <v>43</v>
      </c>
      <c r="C14" s="12" t="s">
        <v>29</v>
      </c>
      <c r="D14" s="12" t="s">
        <v>17</v>
      </c>
      <c r="E14" s="12" t="s">
        <v>44</v>
      </c>
    </row>
    <row r="15" ht="14.25" customHeight="1">
      <c r="A15" s="16" t="s">
        <v>45</v>
      </c>
      <c r="B15" s="17" t="s">
        <v>46</v>
      </c>
      <c r="C15" s="16" t="s">
        <v>16</v>
      </c>
      <c r="D15" s="16" t="s">
        <v>28</v>
      </c>
      <c r="E15" s="16" t="s">
        <v>28</v>
      </c>
    </row>
    <row r="16" ht="14.25" customHeight="1">
      <c r="A16" s="12" t="s">
        <v>47</v>
      </c>
      <c r="B16" s="13" t="s">
        <v>48</v>
      </c>
      <c r="C16" s="12" t="s">
        <v>16</v>
      </c>
      <c r="D16" s="12" t="s">
        <v>17</v>
      </c>
      <c r="E16" s="12" t="s">
        <v>17</v>
      </c>
    </row>
    <row r="17" ht="14.25" customHeight="1">
      <c r="A17" s="16" t="s">
        <v>49</v>
      </c>
      <c r="B17" s="17" t="s">
        <v>50</v>
      </c>
      <c r="C17" s="16" t="s">
        <v>16</v>
      </c>
      <c r="D17" s="16" t="s">
        <v>17</v>
      </c>
      <c r="E17" s="16" t="s">
        <v>17</v>
      </c>
    </row>
    <row r="18" ht="14.25" customHeight="1">
      <c r="A18" s="12" t="s">
        <v>51</v>
      </c>
      <c r="B18" s="13" t="s">
        <v>52</v>
      </c>
      <c r="C18" s="12" t="s">
        <v>16</v>
      </c>
      <c r="D18" s="12" t="s">
        <v>28</v>
      </c>
      <c r="E18" s="12" t="s">
        <v>17</v>
      </c>
    </row>
    <row r="19" ht="14.25" customHeight="1">
      <c r="A19" s="16" t="s">
        <v>53</v>
      </c>
      <c r="B19" s="17" t="s">
        <v>54</v>
      </c>
      <c r="C19" s="16" t="s">
        <v>16</v>
      </c>
      <c r="D19" s="16" t="s">
        <v>17</v>
      </c>
      <c r="E19" s="16" t="s">
        <v>17</v>
      </c>
    </row>
    <row r="20" ht="14.25" customHeight="1">
      <c r="A20" s="12" t="s">
        <v>55</v>
      </c>
      <c r="B20" s="13" t="s">
        <v>56</v>
      </c>
      <c r="C20" s="12" t="s">
        <v>29</v>
      </c>
      <c r="D20" s="12" t="s">
        <v>44</v>
      </c>
      <c r="E20" s="12" t="s">
        <v>17</v>
      </c>
    </row>
    <row r="21" ht="14.25" customHeight="1">
      <c r="A21" s="16" t="s">
        <v>57</v>
      </c>
      <c r="B21" s="17" t="s">
        <v>58</v>
      </c>
      <c r="C21" s="16" t="s">
        <v>29</v>
      </c>
      <c r="D21" s="16" t="s">
        <v>44</v>
      </c>
      <c r="E21" s="16" t="s">
        <v>17</v>
      </c>
    </row>
    <row r="22" ht="14.25" customHeight="1">
      <c r="A22" s="12" t="s">
        <v>59</v>
      </c>
      <c r="B22" s="13" t="s">
        <v>60</v>
      </c>
      <c r="C22" s="12" t="s">
        <v>16</v>
      </c>
      <c r="D22" s="12" t="s">
        <v>17</v>
      </c>
      <c r="E22" s="12" t="s">
        <v>17</v>
      </c>
    </row>
    <row r="23" ht="14.25" customHeight="1">
      <c r="A23" s="16" t="s">
        <v>61</v>
      </c>
      <c r="B23" s="17" t="s">
        <v>62</v>
      </c>
      <c r="C23" s="16" t="s">
        <v>29</v>
      </c>
      <c r="D23" s="16" t="s">
        <v>17</v>
      </c>
      <c r="E23" s="16" t="s">
        <v>44</v>
      </c>
    </row>
    <row r="24" ht="14.25" customHeight="1">
      <c r="A24" s="12" t="s">
        <v>63</v>
      </c>
      <c r="B24" s="13" t="s">
        <v>64</v>
      </c>
      <c r="C24" s="12" t="s">
        <v>16</v>
      </c>
      <c r="D24" s="12" t="s">
        <v>28</v>
      </c>
      <c r="E24" s="12" t="s">
        <v>17</v>
      </c>
    </row>
    <row r="25" ht="14.25" customHeight="1">
      <c r="A25" s="16" t="s">
        <v>65</v>
      </c>
      <c r="B25" s="17" t="s">
        <v>66</v>
      </c>
      <c r="C25" s="16" t="s">
        <v>29</v>
      </c>
      <c r="D25" s="16" t="s">
        <v>44</v>
      </c>
      <c r="E25" s="16" t="s">
        <v>17</v>
      </c>
    </row>
    <row r="26" ht="14.25" customHeight="1">
      <c r="A26" s="12" t="s">
        <v>67</v>
      </c>
      <c r="B26" s="13" t="s">
        <v>68</v>
      </c>
      <c r="C26" s="12" t="s">
        <v>29</v>
      </c>
      <c r="D26" s="12" t="s">
        <v>17</v>
      </c>
      <c r="E26" s="12" t="s">
        <v>44</v>
      </c>
    </row>
    <row r="27" ht="14.25" customHeight="1">
      <c r="A27" s="16" t="s">
        <v>69</v>
      </c>
      <c r="B27" s="17" t="s">
        <v>70</v>
      </c>
      <c r="C27" s="16" t="s">
        <v>16</v>
      </c>
      <c r="D27" s="16" t="s">
        <v>17</v>
      </c>
      <c r="E27" s="16" t="s">
        <v>17</v>
      </c>
    </row>
    <row r="28" ht="14.25" customHeight="1">
      <c r="A28" s="12" t="s">
        <v>71</v>
      </c>
      <c r="B28" s="13" t="s">
        <v>72</v>
      </c>
      <c r="C28" s="12" t="s">
        <v>29</v>
      </c>
      <c r="D28" s="12" t="s">
        <v>44</v>
      </c>
      <c r="E28" s="12" t="s">
        <v>17</v>
      </c>
    </row>
    <row r="29" ht="14.25" customHeight="1">
      <c r="A29" s="16" t="s">
        <v>73</v>
      </c>
      <c r="B29" s="17" t="s">
        <v>74</v>
      </c>
      <c r="C29" s="16" t="s">
        <v>29</v>
      </c>
      <c r="D29" s="16" t="s">
        <v>17</v>
      </c>
      <c r="E29" s="16" t="s">
        <v>44</v>
      </c>
    </row>
    <row r="30" ht="14.25" customHeight="1">
      <c r="A30" s="12" t="s">
        <v>75</v>
      </c>
      <c r="B30" s="13" t="s">
        <v>76</v>
      </c>
      <c r="C30" s="12" t="s">
        <v>29</v>
      </c>
      <c r="D30" s="12" t="s">
        <v>17</v>
      </c>
      <c r="E30" s="12" t="s">
        <v>44</v>
      </c>
    </row>
    <row r="31" ht="14.25" customHeight="1">
      <c r="A31" s="16" t="s">
        <v>77</v>
      </c>
      <c r="B31" s="17" t="s">
        <v>78</v>
      </c>
      <c r="C31" s="16" t="s">
        <v>16</v>
      </c>
      <c r="D31" s="16" t="s">
        <v>28</v>
      </c>
      <c r="E31" s="16" t="s">
        <v>28</v>
      </c>
    </row>
    <row r="32" ht="14.25" customHeight="1">
      <c r="A32" s="12" t="s">
        <v>79</v>
      </c>
      <c r="B32" s="13" t="s">
        <v>80</v>
      </c>
      <c r="C32" s="12" t="s">
        <v>29</v>
      </c>
      <c r="D32" s="12" t="s">
        <v>17</v>
      </c>
      <c r="E32" s="12" t="s">
        <v>44</v>
      </c>
    </row>
    <row r="33" ht="14.25" customHeight="1">
      <c r="A33" s="16" t="s">
        <v>81</v>
      </c>
      <c r="B33" s="17" t="s">
        <v>82</v>
      </c>
      <c r="C33" s="16" t="s">
        <v>29</v>
      </c>
      <c r="D33" s="16" t="s">
        <v>44</v>
      </c>
      <c r="E33" s="16" t="s">
        <v>17</v>
      </c>
    </row>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3">
    <mergeCell ref="A2:E3"/>
    <mergeCell ref="A5:B5"/>
    <mergeCell ref="C5:E5"/>
  </mergeCells>
  <conditionalFormatting sqref="C7:E33">
    <cfRule type="expression" dxfId="0" priority="1">
      <formula>C7="R"</formula>
    </cfRule>
  </conditionalFormatting>
  <conditionalFormatting sqref="C7:E33">
    <cfRule type="expression" dxfId="1" priority="2">
      <formula>C7="A"</formula>
    </cfRule>
  </conditionalFormatting>
  <conditionalFormatting sqref="C7:E33">
    <cfRule type="expression" dxfId="2" priority="3">
      <formula>C7="C"</formula>
    </cfRule>
  </conditionalFormatting>
  <conditionalFormatting sqref="C7:E33">
    <cfRule type="expression" dxfId="3" priority="4">
      <formula>C7="I"</formula>
    </cfRule>
  </conditionalFormatting>
  <conditionalFormatting sqref="C7:E33">
    <cfRule type="expression" dxfId="4" priority="5">
      <formula>C7="R/A"</formula>
    </cfRule>
  </conditionalFormatting>
  <dataValidations>
    <dataValidation type="list" allowBlank="1" sqref="C7:E33">
      <formula1>"R,A,C,I,R/A"</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2.0"/>
    <col customWidth="1" min="2" max="2" width="80.0"/>
    <col customWidth="1" min="3" max="26" width="8.86"/>
  </cols>
  <sheetData>
    <row r="1" ht="14.25" customHeight="1">
      <c r="A1" s="1" t="s">
        <v>0</v>
      </c>
      <c r="B1" s="2"/>
    </row>
    <row r="2" ht="14.25" customHeight="1">
      <c r="A2" s="4" t="s">
        <v>2</v>
      </c>
      <c r="B2" s="4" t="s">
        <v>4</v>
      </c>
    </row>
    <row r="3" ht="14.25" customHeight="1">
      <c r="A3" s="9" t="str">
        <f>'Recursos por Actividad'!A6</f>
        <v>ID Actividad</v>
      </c>
      <c r="B3" s="9" t="s">
        <v>8</v>
      </c>
    </row>
    <row r="4" ht="14.25" customHeight="1">
      <c r="A4" s="9" t="str">
        <f>'Recursos por Actividad'!B6</f>
        <v>Actividad</v>
      </c>
      <c r="B4" s="9" t="s">
        <v>12</v>
      </c>
    </row>
    <row r="5" ht="14.25" customHeight="1">
      <c r="A5" s="9" t="s">
        <v>13</v>
      </c>
      <c r="B5" s="9" t="s">
        <v>14</v>
      </c>
    </row>
    <row r="6" ht="14.25" customHeight="1">
      <c r="A6" s="9" t="str">
        <f>'Recursos por Actividad'!C5</f>
        <v>Roles / Responsabilidades</v>
      </c>
      <c r="B6" s="9" t="s">
        <v>19</v>
      </c>
    </row>
    <row r="7" ht="14.25" customHeight="1">
      <c r="A7" s="2"/>
      <c r="B7" s="2"/>
    </row>
    <row r="8" ht="14.25" customHeight="1">
      <c r="A8" s="1" t="s">
        <v>21</v>
      </c>
      <c r="B8" s="2"/>
    </row>
    <row r="9" ht="14.25" customHeight="1">
      <c r="A9" s="4" t="s">
        <v>22</v>
      </c>
      <c r="B9" s="4" t="s">
        <v>23</v>
      </c>
    </row>
    <row r="10" ht="14.25" customHeight="1">
      <c r="A10" s="9" t="s">
        <v>25</v>
      </c>
      <c r="B10" s="9" t="s">
        <v>27</v>
      </c>
    </row>
    <row r="11" ht="14.25" customHeight="1">
      <c r="A11" s="9" t="s">
        <v>29</v>
      </c>
      <c r="B11" s="9" t="s">
        <v>30</v>
      </c>
    </row>
    <row r="12" ht="14.25" customHeight="1">
      <c r="A12" s="9" t="s">
        <v>17</v>
      </c>
      <c r="B12" s="9" t="s">
        <v>33</v>
      </c>
    </row>
    <row r="13" ht="14.25" customHeight="1">
      <c r="A13" s="9" t="s">
        <v>28</v>
      </c>
      <c r="B13" s="9" t="s">
        <v>35</v>
      </c>
    </row>
    <row r="14" ht="39.0" customHeight="1">
      <c r="A14" s="14" t="s">
        <v>16</v>
      </c>
      <c r="B14" s="15" t="s">
        <v>37</v>
      </c>
    </row>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4.0"/>
    <col customWidth="1" min="2" max="2" width="40.0"/>
    <col customWidth="1" min="3" max="5" width="12.0"/>
    <col customWidth="1" min="6" max="26" width="8.71"/>
  </cols>
  <sheetData>
    <row r="1">
      <c r="A1" s="18" t="s">
        <v>83</v>
      </c>
    </row>
    <row r="3">
      <c r="A3" s="19" t="s">
        <v>84</v>
      </c>
      <c r="B3" s="19" t="s">
        <v>44</v>
      </c>
      <c r="C3" s="19" t="s">
        <v>29</v>
      </c>
      <c r="D3" s="19" t="s">
        <v>17</v>
      </c>
      <c r="E3" s="19" t="s">
        <v>28</v>
      </c>
    </row>
    <row r="4">
      <c r="A4" s="20" t="s">
        <v>7</v>
      </c>
      <c r="B4" s="21">
        <f>COUNTIF('Recursos por Actividad'!C7:C33,"R")+COUNTIF('Recursos por Actividad'!C7:C33,"R/A")</f>
        <v>16</v>
      </c>
      <c r="C4" s="21">
        <f>COUNTIF('Recursos por Actividad'!C7:C33,"A")+COUNTIF('Recursos por Actividad'!C7:C33,"R/A")</f>
        <v>27</v>
      </c>
      <c r="D4" s="21">
        <f>COUNTIF('Recursos por Actividad'!C7:C33,"C")</f>
        <v>0</v>
      </c>
      <c r="E4" s="21">
        <f>COUNTIF('Recursos por Actividad'!C7:C33,"I")</f>
        <v>0</v>
      </c>
    </row>
    <row r="5">
      <c r="A5" s="20" t="s">
        <v>9</v>
      </c>
      <c r="B5" s="21">
        <f>COUNTIF('Recursos por Actividad'!D7:D33,"R")+COUNTIF('Recursos por Actividad'!D7:D33,"R/A")</f>
        <v>5</v>
      </c>
      <c r="C5" s="21">
        <f>COUNTIF('Recursos por Actividad'!D7:D33,"A")+COUNTIF('Recursos por Actividad'!D7:D33,"R/A")</f>
        <v>0</v>
      </c>
      <c r="D5" s="21">
        <f>COUNTIF('Recursos por Actividad'!D7:D33,"C")</f>
        <v>17</v>
      </c>
      <c r="E5" s="21">
        <f>COUNTIF('Recursos por Actividad'!D7:D33,"I")</f>
        <v>5</v>
      </c>
    </row>
    <row r="6">
      <c r="A6" s="20" t="s">
        <v>10</v>
      </c>
      <c r="B6" s="21">
        <f>COUNTIF('Recursos por Actividad'!E7:E33,"R")+COUNTIF('Recursos por Actividad'!E7:E33,"R/A")</f>
        <v>6</v>
      </c>
      <c r="C6" s="21">
        <f>COUNTIF('Recursos por Actividad'!E7:E33,"A")+COUNTIF('Recursos por Actividad'!E7:E33,"R/A")</f>
        <v>0</v>
      </c>
      <c r="D6" s="21">
        <f>COUNTIF('Recursos por Actividad'!E7:E33,"C")</f>
        <v>19</v>
      </c>
      <c r="E6" s="21">
        <f>COUNTIF('Recursos por Actividad'!E7:E33,"I")</f>
        <v>2</v>
      </c>
    </row>
    <row r="9">
      <c r="A9" s="22" t="s">
        <v>85</v>
      </c>
      <c r="B9" s="22" t="s">
        <v>86</v>
      </c>
    </row>
    <row r="10">
      <c r="A10" s="23" t="s">
        <v>44</v>
      </c>
      <c r="B10" s="24" t="s">
        <v>87</v>
      </c>
    </row>
    <row r="11">
      <c r="A11" s="23" t="s">
        <v>29</v>
      </c>
      <c r="B11" s="24" t="s">
        <v>88</v>
      </c>
    </row>
    <row r="12">
      <c r="A12" s="23" t="s">
        <v>17</v>
      </c>
      <c r="B12" s="24" t="s">
        <v>89</v>
      </c>
    </row>
    <row r="13">
      <c r="A13" s="23" t="s">
        <v>28</v>
      </c>
      <c r="B13" s="24" t="s">
        <v>90</v>
      </c>
    </row>
    <row r="14">
      <c r="A14" s="23" t="s">
        <v>16</v>
      </c>
      <c r="B14" s="24" t="s">
        <v>91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printOptions/>
  <pageMargins bottom="0.75" footer="0.0" header="0.0" left="0.7" right="0.7" top="0.75"/>
  <pageSetup orientation="landscape"/>
  <drawing r:id="rId1"/>
</worksheet>
</file>