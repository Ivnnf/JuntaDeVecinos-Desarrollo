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68d89f9d1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esgos" sheetId="1" r:id="R477dcc6482434833"/>
    <x:sheet xmlns:r="http://schemas.openxmlformats.org/officeDocument/2006/relationships" name="Resumen y Mapa 5x5" sheetId="2" r:id="R1e1958eb4ccf45a7"/>
    <x:sheet xmlns:r="http://schemas.openxmlformats.org/officeDocument/2006/relationships" name="Criterios" sheetId="3" r:id="R10767452ce6f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F4E78"/>
      <x:name val="Carlito"/>
    </x:font>
    <x:font>
      <x:b/>
      <x:sz val="9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0" fillId="11" borderId="1" xfId="0" applyNumberFormat="1" applyFont="1" applyFill="1" applyBorder="1"/>
    <x:xf numFmtId="0" fontId="10" fillId="11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c60d40b774de8" /><Relationship Type="http://schemas.openxmlformats.org/officeDocument/2006/relationships/theme" Target="/xl/theme/theme1.xml" Id="R00fd859f9f5248c4" /><Relationship Type="http://schemas.openxmlformats.org/officeDocument/2006/relationships/sharedStrings" Target="/xl/sharedStrings.xml" Id="R01a960d1166648f4" /><Relationship Type="http://schemas.openxmlformats.org/officeDocument/2006/relationships/worksheet" Target="/xl/worksheets/sheet1.xml" Id="R477dcc6482434833" /><Relationship Type="http://schemas.openxmlformats.org/officeDocument/2006/relationships/worksheet" Target="/xl/worksheets/sheet2.xml" Id="R1e1958eb4ccf45a7" /><Relationship Type="http://schemas.openxmlformats.org/officeDocument/2006/relationships/worksheet" Target="/xl/worksheets/sheet3.xml" Id="R10767452ce6f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bd04132d4241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Riesgos por nivel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 y Mapa 5x5'!$H$4:$H$7</c:f>
              <c:strCache>
                <c:ptCount val="0"/>
              </c:strCache>
            </c:strRef>
          </c:cat>
          <c:val>
            <c:numRef>
              <c:f>'Resumen y Mapa 5x5'!$I$4:$I$7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bd04132d4241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RiesgosAPT" displayName="TablaRiesgosAPT" ref="A5:R23" headerRowCount="1" totalsRowCount="0" totalsRowShown="0">
  <x:tableColumns count="18">
    <x:tableColumn id="1" name="ID"/>
    <x:tableColumn id="2" name="Categoría"/>
    <x:tableColumn id="3" name="Riesgo"/>
    <x:tableColumn id="4" name="Causa / Disparador"/>
    <x:tableColumn id="5" name="Prob."/>
    <x:tableColumn id="6" name="Impacto"/>
    <x:tableColumn id="7" name="Exposición"/>
    <x:tableColumn id="8" name="Nivel"/>
    <x:tableColumn id="9" name="Respuesta"/>
    <x:tableColumn id="10" name="Medida preventiva / Mitigación"/>
    <x:tableColumn id="11" name="Plan de contingencia"/>
    <x:tableColumn id="12" name="Responsable"/>
    <x:tableColumn id="13" name="Estado"/>
    <x:tableColumn id="14" name="Prob. residual"/>
    <x:tableColumn id="15" name="Impacto residual"/>
    <x:tableColumn id="16" name="Exposición residual"/>
    <x:tableColumn id="17" name="Nivel residual"/>
    <x:tableColumn id="1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e21af7dfce4d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5fb4edae4b24ed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36" hidden="0" customWidth="1"/>
    <x:col min="5" max="5" width="8" hidden="0" customWidth="1"/>
    <x:col min="6" max="6" width="8" hidden="0" customWidth="1"/>
    <x:col min="7" max="7" width="10" hidden="0" customWidth="1"/>
    <x:col min="8" max="8" width="11" hidden="0" customWidth="1"/>
    <x:col min="9" max="9" width="12" hidden="0" customWidth="1"/>
    <x:col min="10" max="10" width="42" hidden="0" customWidth="1"/>
    <x:col min="11" max="11" width="40" hidden="0" customWidth="1"/>
    <x:col min="12" max="12" width="27" hidden="0" customWidth="1"/>
    <x:col min="13" max="13" width="13" hidden="0" customWidth="1"/>
    <x:col min="14" max="14" width="12" hidden="0" customWidth="1"/>
    <x:col min="15" max="15" width="14" hidden="0" customWidth="1"/>
    <x:col min="16" max="16" width="16" hidden="0" customWidth="1"/>
    <x:col min="17" max="17" width="13" hidden="0" customWidth="1"/>
    <x:col min="18" max="18" width="28" hidden="0" customWidth="1"/>
  </x:cols>
  <x:sheetData>
    <x:row r="1" ht="24" customHeight="1">
      <x:c r="A1" s="5" t="str">
        <x:v>MATRIZ DE RIESGOS — PROYECTO APT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4" customHeight="1">
      <x:c r="A2" s="12" t="str">
        <x:v>Plataforma Inteligente de Gestión y Caracterización Comunitaria para Juntas de Vecinos | Fase 1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3" ht="24" customHeight="1">
      <x:c r="A3" s="18" t="str">
        <x:v>Criterio</x:v>
      </x:c>
      <x:c r="B3" s="18" t="str">
        <x:v>P × I</x:v>
      </x:c>
      <x:c r="C3" s="18" t="str">
        <x:v>Bajo: 1–4</x:v>
      </x:c>
      <x:c r="D3" s="18" t="str">
        <x:v>Medio: 5–9</x:v>
      </x:c>
      <x:c r="E3" s="18" t="str">
        <x:v>Alto: 10–16</x:v>
      </x:c>
      <x:c r="F3" s="18" t="str">
        <x:v>Crítico: 17–25</x:v>
      </x:c>
    </x:row>
    <x:row r="4" ht="24" customHeight="1"/>
    <x:row r="5" ht="24" customHeight="1">
      <x:c r="A5" s="26" t="str">
        <x:v>ID</x:v>
      </x:c>
      <x:c r="B5" s="26" t="str">
        <x:v>Categoría</x:v>
      </x:c>
      <x:c r="C5" s="26" t="str">
        <x:v>Riesgo</x:v>
      </x:c>
      <x:c r="D5" s="26" t="str">
        <x:v>Causa / Disparador</x:v>
      </x:c>
      <x:c r="E5" s="26" t="str">
        <x:v>Prob.</x:v>
      </x:c>
      <x:c r="F5" s="26" t="str">
        <x:v>Impacto</x:v>
      </x:c>
      <x:c r="G5" s="26" t="str">
        <x:v>Exposición</x:v>
      </x:c>
      <x:c r="H5" s="26" t="str">
        <x:v>Nivel</x:v>
      </x:c>
      <x:c r="I5" s="26" t="str">
        <x:v>Respuesta</x:v>
      </x:c>
      <x:c r="J5" s="26" t="str">
        <x:v>Medida preventiva / Mitigación</x:v>
      </x:c>
      <x:c r="K5" s="26" t="str">
        <x:v>Plan de contingencia</x:v>
      </x:c>
      <x:c r="L5" s="26" t="str">
        <x:v>Responsable</x:v>
      </x:c>
      <x:c r="M5" s="26" t="str">
        <x:v>Estado</x:v>
      </x:c>
      <x:c r="N5" s="26" t="str">
        <x:v>Prob. residual</x:v>
      </x:c>
      <x:c r="O5" s="26" t="str">
        <x:v>Impacto residual</x:v>
      </x:c>
      <x:c r="P5" s="26" t="str">
        <x:v>Exposición residual</x:v>
      </x:c>
      <x:c r="Q5" s="26" t="str">
        <x:v>Nivel residual</x:v>
      </x:c>
      <x:c r="R5" s="26" t="str">
        <x:v>Observaciones</x:v>
      </x:c>
    </x:row>
    <x:row r="6" ht="21.600000381469727" hidden="0" customHeight="1">
      <x:c r="A6" s="38" t="str">
        <x:v>R-01</x:v>
      </x:c>
      <x:c r="B6" s="38" t="str">
        <x:v>Planificación</x:v>
      </x:c>
      <x:c r="C6" s="34" t="str">
        <x:v>Retraso en el cumplimiento de los Sprints</x:v>
      </x:c>
      <x:c r="D6" s="34" t="str">
        <x:v>Carga académica, disponibilidad limitada del equipo o tareas subestimadas.</x:v>
      </x:c>
      <x:c r="E6" s="38" t="n">
        <x:v>4</x:v>
      </x:c>
      <x:c r="F6" s="38" t="n">
        <x:v>4</x:v>
      </x:c>
      <x:c r="G6" s="38" t="n">
        <x:f>E6*F6</x:f>
        <x:v>16</x:v>
      </x:c>
      <x:c r="H6" s="38" t="str">
        <x:f>IF(G6&gt;=17,"Crítico",IF(G6&gt;=10,"Alto",IF(G6&gt;=5,"Medio","Bajo")))</x:f>
        <x:v>Alto</x:v>
      </x:c>
      <x:c r="I6" s="34" t="str">
        <x:v>Mitigar</x:v>
      </x:c>
      <x:c r="J6" s="34" t="str">
        <x:v>Revisar capacidad al inicio de cada Sprint, priorizar HU críticas y ajustar tareas antes de comprometer trabajo adicional.</x:v>
      </x:c>
      <x:c r="K6" s="34" t="str">
        <x:v>Replanificar tareas no críticas al siguiente Sprint sin afectar el MVP ni los hitos académicos.</x:v>
      </x:c>
      <x:c r="L6" s="34" t="str">
        <x:v>Ivan Tamayo</x:v>
      </x:c>
      <x:c r="M6" s="38" t="str">
        <x:v>Abierto</x:v>
      </x:c>
      <x:c r="N6" s="38" t="n">
        <x:v>2</x:v>
      </x:c>
      <x:c r="O6" s="38" t="n">
        <x:v>4</x:v>
      </x:c>
      <x:c r="P6" s="38" t="n">
        <x:f>N6*O6</x:f>
        <x:v>8</x:v>
      </x:c>
      <x:c r="Q6" s="38" t="str">
        <x:f>IF(P6&gt;=17,"Crítico",IF(P6&gt;=10,"Alto",IF(P6&gt;=5,"Medio","Bajo")))</x:f>
        <x:v>Medio</x:v>
      </x:c>
      <x:c r="R6" s="34" t="str">
        <x:v>Revisar al cierre de cada Sprint.</x:v>
      </x:c>
    </x:row>
    <x:row r="7" ht="21.600000381469727" hidden="0" customHeight="1">
      <x:c r="A7" s="38" t="str">
        <x:v>R-02</x:v>
      </x:c>
      <x:c r="B7" s="38" t="str">
        <x:v>Alcance</x:v>
      </x:c>
      <x:c r="C7" s="34" t="str">
        <x:v>Cambios de alcance durante el desarrollo</x:v>
      </x:c>
      <x:c r="D7" s="34" t="str">
        <x:v>Nuevas ideas o solicitudes que no estén dentro de los 30 RF definidos.</x:v>
      </x:c>
      <x:c r="E7" s="38" t="n">
        <x:v>3</x:v>
      </x:c>
      <x:c r="F7" s="38" t="n">
        <x:v>4</x:v>
      </x:c>
      <x:c r="G7" s="38" t="n">
        <x:f>E7*F7</x:f>
        <x:v>12</x:v>
      </x:c>
      <x:c r="H7" s="38" t="str">
        <x:f>IF(G7&gt;=17,"Crítico",IF(G7&gt;=10,"Alto",IF(G7&gt;=5,"Medio","Bajo")))</x:f>
        <x:v>Alto</x:v>
      </x:c>
      <x:c r="I7" s="34" t="str">
        <x:v>Mitigar</x:v>
      </x:c>
      <x:c r="J7" s="34" t="str">
        <x:v>Usar Product Backlog priorizado y registrar cualquier cambio antes de incorporarlo al Sprint.</x:v>
      </x:c>
      <x:c r="K7" s="34" t="str">
        <x:v>Postergar funcionalidades nuevas para una versión futura cuando afecten tiempo o estabilidad del MVP.</x:v>
      </x:c>
      <x:c r="L7" s="34" t="str">
        <x:v>Ivan Tamayo</x:v>
      </x:c>
      <x:c r="M7" s="38" t="str">
        <x:v>Abierto</x:v>
      </x:c>
      <x:c r="N7" s="38" t="n">
        <x:v>2</x:v>
      </x:c>
      <x:c r="O7" s="38" t="n">
        <x:v>3</x:v>
      </x:c>
      <x:c r="P7" s="38" t="n">
        <x:f>N7*O7</x:f>
        <x:v>6</x:v>
      </x:c>
      <x:c r="Q7" s="38" t="str">
        <x:f>IF(P7&gt;=17,"Crítico",IF(P7&gt;=10,"Alto",IF(P7&gt;=5,"Medio","Bajo")))</x:f>
        <x:v>Medio</x:v>
      </x:c>
      <x:c r="R7" s="34" t="str">
        <x:v>Control de alcance en Sprint Planning.</x:v>
      </x:c>
    </x:row>
    <x:row r="8" ht="21.600000381469727" hidden="0" customHeight="1">
      <x:c r="A8" s="38" t="str">
        <x:v>R-03</x:v>
      </x:c>
      <x:c r="B8" s="38" t="str">
        <x:v>Equipo</x:v>
      </x:c>
      <x:c r="C8" s="34" t="str">
        <x:v>Indisponibilidad temporal de un integrante</x:v>
      </x:c>
      <x:c r="D8" s="34" t="str">
        <x:v>Enfermedad, trabajo, evaluaciones académicas u otras contingencias personales.</x:v>
      </x:c>
      <x:c r="E8" s="38" t="n">
        <x:v>3</x:v>
      </x:c>
      <x:c r="F8" s="38" t="n">
        <x:v>4</x:v>
      </x:c>
      <x:c r="G8" s="38" t="n">
        <x:f>E8*F8</x:f>
        <x:v>12</x:v>
      </x:c>
      <x:c r="H8" s="38" t="str">
        <x:f>IF(G8&gt;=17,"Crítico",IF(G8&gt;=10,"Alto",IF(G8&gt;=5,"Medio","Bajo")))</x:f>
        <x:v>Alto</x:v>
      </x:c>
      <x:c r="I8" s="34" t="str">
        <x:v>Mitigar</x:v>
      </x:c>
      <x:c r="J8" s="34" t="str">
        <x:v>Mantener documentación, commits frecuentes y conocimiento compartido de módulos críticos.</x:v>
      </x:c>
      <x:c r="K8" s="34" t="str">
        <x:v>Redistribuir temporalmente tareas entre integrantes y priorizar entregables esenciales.</x:v>
      </x:c>
      <x:c r="L8" s="34" t="str">
        <x:v>Equipo</x:v>
      </x:c>
      <x:c r="M8" s="38" t="str">
        <x:v>Abierto</x:v>
      </x:c>
      <x:c r="N8" s="38" t="n">
        <x:v>2</x:v>
      </x:c>
      <x:c r="O8" s="38" t="n">
        <x:v>3</x:v>
      </x:c>
      <x:c r="P8" s="38" t="n">
        <x:f>N8*O8</x:f>
        <x:v>6</x:v>
      </x:c>
      <x:c r="Q8" s="38" t="str">
        <x:f>IF(P8&gt;=17,"Crítico",IF(P8&gt;=10,"Alto",IF(P8&gt;=5,"Medio","Bajo")))</x:f>
        <x:v>Medio</x:v>
      </x:c>
      <x:c r="R8" s="34" t="str">
        <x:v>Evitar dependencia exclusiva de una persona.</x:v>
      </x:c>
    </x:row>
    <x:row r="9" ht="21.600000381469727" hidden="0" customHeight="1">
      <x:c r="A9" s="38" t="str">
        <x:v>R-04</x:v>
      </x:c>
      <x:c r="B9" s="38" t="str">
        <x:v>Técnico</x:v>
      </x:c>
      <x:c r="C9" s="34" t="str">
        <x:v>Problemas de integración entre React y Django REST</x:v>
      </x:c>
      <x:c r="D9" s="34" t="str">
        <x:v>Contratos de API inconsistentes, cambios de endpoints o manejo distinto de datos.</x:v>
      </x:c>
      <x:c r="E9" s="38" t="n">
        <x:v>3</x:v>
      </x:c>
      <x:c r="F9" s="38" t="n">
        <x:v>4</x:v>
      </x:c>
      <x:c r="G9" s="38" t="n">
        <x:f>E9*F9</x:f>
        <x:v>12</x:v>
      </x:c>
      <x:c r="H9" s="38" t="str">
        <x:f>IF(G9&gt;=17,"Crítico",IF(G9&gt;=10,"Alto",IF(G9&gt;=5,"Medio","Bajo")))</x:f>
        <x:v>Alto</x:v>
      </x:c>
      <x:c r="I9" s="34" t="str">
        <x:v>Mitigar</x:v>
      </x:c>
      <x:c r="J9" s="34" t="str">
        <x:v>Definir contratos JSON y endpoints antes de integrar; probar cada módulo de forma incremental.</x:v>
      </x:c>
      <x:c r="K9" s="34" t="str">
        <x:v>Aislar el módulo afectado, corregir contrato API y usar datos simulados temporalmente para no detener frontend.</x:v>
      </x:c>
      <x:c r="L9" s="34" t="str">
        <x:v>Ivan Tamayo / Rodrigo Romero</x:v>
      </x:c>
      <x:c r="M9" s="38" t="str">
        <x:v>Abierto</x:v>
      </x:c>
      <x:c r="N9" s="38" t="n">
        <x:v>2</x:v>
      </x:c>
      <x:c r="O9" s="38" t="n">
        <x:v>3</x:v>
      </x:c>
      <x:c r="P9" s="38" t="n">
        <x:f>N9*O9</x:f>
        <x:v>6</x:v>
      </x:c>
      <x:c r="Q9" s="38" t="str">
        <x:f>IF(P9&gt;=17,"Crítico",IF(P9&gt;=10,"Alto",IF(P9&gt;=5,"Medio","Bajo")))</x:f>
        <x:v>Medio</x:v>
      </x:c>
      <x:c r="R9" s="34" t="str">
        <x:v>Integración continua desde Sprint 1.</x:v>
      </x:c>
    </x:row>
    <x:row r="10" ht="21.600000381469727" hidden="0" customHeight="1">
      <x:c r="A10" s="38" t="str">
        <x:v>R-05</x:v>
      </x:c>
      <x:c r="B10" s="38" t="str">
        <x:v>Base de datos</x:v>
      </x:c>
      <x:c r="C10" s="34" t="str">
        <x:v>Errores en el modelo de datos o migraciones MySQL</x:v>
      </x:c>
      <x:c r="D10" s="34" t="str">
        <x:v>Relaciones incorrectas, restricciones incompletas o cambios tardíos del DER.</x:v>
      </x:c>
      <x:c r="E10" s="38" t="n">
        <x:v>3</x:v>
      </x:c>
      <x:c r="F10" s="38" t="n">
        <x:v>4</x:v>
      </x:c>
      <x:c r="G10" s="38" t="n">
        <x:f>E10*F10</x:f>
        <x:v>12</x:v>
      </x:c>
      <x:c r="H10" s="38" t="str">
        <x:f>IF(G10&gt;=17,"Crítico",IF(G10&gt;=10,"Alto",IF(G10&gt;=5,"Medio","Bajo")))</x:f>
        <x:v>Alto</x:v>
      </x:c>
      <x:c r="I10" s="34" t="str">
        <x:v>Mitigar</x:v>
      </x:c>
      <x:c r="J10" s="34" t="str">
        <x:v>Implementar migraciones controladas, respaldar BD y validar relaciones contra el DER aprobado.</x:v>
      </x:c>
      <x:c r="K10" s="34" t="str">
        <x:v>Restaurar respaldo/migración anterior y aplicar corrección incremental documentada.</x:v>
      </x:c>
      <x:c r="L10" s="34" t="str">
        <x:v>Ivan Tamayo / Richard Diaz</x:v>
      </x:c>
      <x:c r="M10" s="38" t="str">
        <x:v>Abierto</x:v>
      </x:c>
      <x:c r="N10" s="38" t="n">
        <x:v>2</x:v>
      </x:c>
      <x:c r="O10" s="38" t="n">
        <x:v>3</x:v>
      </x:c>
      <x:c r="P10" s="38" t="n">
        <x:f>N10*O10</x:f>
        <x:v>6</x:v>
      </x:c>
      <x:c r="Q10" s="38" t="str">
        <x:f>IF(P10&gt;=17,"Crítico",IF(P10&gt;=10,"Alto",IF(P10&gt;=5,"Medio","Bajo")))</x:f>
        <x:v>Medio</x:v>
      </x:c>
      <x:c r="R10" s="34" t="str">
        <x:v>Evitar cambios manuales no documentados.</x:v>
      </x:c>
    </x:row>
    <x:row r="11" ht="21.600000381469727" hidden="0" customHeight="1">
      <x:c r="A11" s="38" t="str">
        <x:v>R-06</x:v>
      </x:c>
      <x:c r="B11" s="38" t="str">
        <x:v>Seguridad</x:v>
      </x:c>
      <x:c r="C11" s="34" t="str">
        <x:v>Acceso indebido a funcionalidades por errores de roles y permisos</x:v>
      </x:c>
      <x:c r="D11" s="34" t="str">
        <x:v>Configuración incorrecta de autorización o validaciones solo en frontend.</x:v>
      </x:c>
      <x:c r="E11" s="38" t="n">
        <x:v>3</x:v>
      </x:c>
      <x:c r="F11" s="38" t="n">
        <x:v>5</x:v>
      </x:c>
      <x:c r="G11" s="38" t="n">
        <x:f>E11*F11</x:f>
        <x:v>15</x:v>
      </x:c>
      <x:c r="H11" s="38" t="str">
        <x:f>IF(G11&gt;=17,"Crítico",IF(G11&gt;=10,"Alto",IF(G11&gt;=5,"Medio","Bajo")))</x:f>
        <x:v>Alto</x:v>
      </x:c>
      <x:c r="I11" s="34" t="str">
        <x:v>Mitigar</x:v>
      </x:c>
      <x:c r="J11" s="34" t="str">
        <x:v>Aplicar autorización en backend Django y probar permisos por cada uno de los cuatro perfiles.</x:v>
      </x:c>
      <x:c r="K11" s="34" t="str">
        <x:v>Deshabilitar temporalmente la función comprometida, corregir permisos y ejecutar pruebas de regresión.</x:v>
      </x:c>
      <x:c r="L11" s="34" t="str">
        <x:v>Ivan Tamayo / Richard Diaz</x:v>
      </x:c>
      <x:c r="M11" s="38" t="str">
        <x:v>Abierto</x:v>
      </x:c>
      <x:c r="N11" s="38" t="n">
        <x:v>1</x:v>
      </x:c>
      <x:c r="O11" s="38" t="n">
        <x:v>5</x:v>
      </x:c>
      <x:c r="P11" s="38" t="n">
        <x:f>N11*O11</x:f>
        <x:v>5</x:v>
      </x:c>
      <x:c r="Q11" s="38" t="str">
        <x:f>IF(P11&gt;=17,"Crítico",IF(P11&gt;=10,"Alto",IF(P11&gt;=5,"Medio","Bajo")))</x:f>
        <x:v>Medio</x:v>
      </x:c>
      <x:c r="R11" s="34" t="str">
        <x:v>Riesgo crítico por privacidad y control de acceso.</x:v>
      </x:c>
    </x:row>
    <x:row r="12" ht="21.600000381469727" hidden="0" customHeight="1">
      <x:c r="A12" s="38" t="str">
        <x:v>R-07</x:v>
      </x:c>
      <x:c r="B12" s="38" t="str">
        <x:v>Privacidad</x:v>
      </x:c>
      <x:c r="C12" s="34" t="str">
        <x:v>Exposición de datos personales de vecinos</x:v>
      </x:c>
      <x:c r="D12" s="34" t="str">
        <x:v>Consultas, dashboards o respuestas que muestren información individual no autorizada.</x:v>
      </x:c>
      <x:c r="E12" s="38" t="n">
        <x:v>2</x:v>
      </x:c>
      <x:c r="F12" s="38" t="n">
        <x:v>5</x:v>
      </x:c>
      <x:c r="G12" s="38" t="n">
        <x:f>E12*F12</x:f>
        <x:v>10</x:v>
      </x:c>
      <x:c r="H12" s="38" t="str">
        <x:f>IF(G12&gt;=17,"Crítico",IF(G12&gt;=10,"Alto",IF(G12&gt;=5,"Medio","Bajo")))</x:f>
        <x:v>Alto</x:v>
      </x:c>
      <x:c r="I12" s="34" t="str">
        <x:v>Mitigar</x:v>
      </x:c>
      <x:c r="J12" s="34" t="str">
        <x:v>Minimizar datos, no almacenar dirección exacta y usar información agregada en dashboards y reportes.</x:v>
      </x:c>
      <x:c r="K12" s="34" t="str">
        <x:v>Retirar la vista o reporte afectado, corregir consulta y revisar accesos antes de volver a habilitarlo.</x:v>
      </x:c>
      <x:c r="L12" s="34" t="str">
        <x:v>Ivan Tamayo / Richard Diaz</x:v>
      </x:c>
      <x:c r="M12" s="38" t="str">
        <x:v>Abierto</x:v>
      </x:c>
      <x:c r="N12" s="38" t="n">
        <x:v>1</x:v>
      </x:c>
      <x:c r="O12" s="38" t="n">
        <x:v>4</x:v>
      </x:c>
      <x:c r="P12" s="38" t="n">
        <x:f>N12*O12</x:f>
        <x:v>4</x:v>
      </x:c>
      <x:c r="Q12" s="38" t="str">
        <x:f>IF(P12&gt;=17,"Crítico",IF(P12&gt;=10,"Alto",IF(P12&gt;=5,"Medio","Bajo")))</x:f>
        <x:v>Bajo</x:v>
      </x:c>
      <x:c r="R12" s="34" t="str">
        <x:v>Validar especialmente dashboard municipal.</x:v>
      </x:c>
    </x:row>
    <x:row r="13" ht="32.400001525878906" hidden="0" customHeight="1">
      <x:c r="A13" s="38" t="str">
        <x:v>R-08</x:v>
      </x:c>
      <x:c r="B13" s="38" t="str">
        <x:v>IA / Servicio externo</x:v>
      </x:c>
      <x:c r="C13" s="34" t="str">
        <x:v>Límite de cuota o indisponibilidad de Gemini API</x:v>
      </x:c>
      <x:c r="D13" s="34" t="str">
        <x:v>Uso del free tier, caída del servicio o restricciones de acceso externo.</x:v>
      </x:c>
      <x:c r="E13" s="38" t="n">
        <x:v>3</x:v>
      </x:c>
      <x:c r="F13" s="38" t="n">
        <x:v>3</x:v>
      </x:c>
      <x:c r="G13" s="38" t="n">
        <x:f>E13*F13</x:f>
        <x:v>9</x:v>
      </x:c>
      <x:c r="H13" s="38" t="str">
        <x:f>IF(G13&gt;=17,"Crítico",IF(G13&gt;=10,"Alto",IF(G13&gt;=5,"Medio","Bajo")))</x:f>
        <x:v>Medio</x:v>
      </x:c>
      <x:c r="I13" s="34" t="str">
        <x:v>Mitigar</x:v>
      </x:c>
      <x:c r="J13" s="34" t="str">
        <x:v>Mantener el chatbot como función no crítica, controlar errores y limitar consultas innecesarias.</x:v>
      </x:c>
      <x:c r="K13" s="34" t="str">
        <x:v>Mostrar mensaje de indisponibilidad y derivar al canal de ayuda/directiva; usar respuestas FAQ locales para demo si es necesario.</x:v>
      </x:c>
      <x:c r="L13" s="34" t="str">
        <x:v>Ivan Tamayo</x:v>
      </x:c>
      <x:c r="M13" s="38" t="str">
        <x:v>Abierto</x:v>
      </x:c>
      <x:c r="N13" s="38" t="n">
        <x:v>2</x:v>
      </x:c>
      <x:c r="O13" s="38" t="n">
        <x:v>2</x:v>
      </x:c>
      <x:c r="P13" s="38" t="n">
        <x:f>N13*O13</x:f>
        <x:v>4</x:v>
      </x:c>
      <x:c r="Q13" s="38" t="str">
        <x:f>IF(P13&gt;=17,"Crítico",IF(P13&gt;=10,"Alto",IF(P13&gt;=5,"Medio","Bajo")))</x:f>
        <x:v>Bajo</x:v>
      </x:c>
      <x:c r="R13" s="34" t="str">
        <x:v>No bloquear funcionalidades principales por la IA.</x:v>
      </x:c>
    </x:row>
    <x:row r="14" ht="21.600000381469727" hidden="0" customHeight="1">
      <x:c r="A14" s="38" t="str">
        <x:v>R-09</x:v>
      </x:c>
      <x:c r="B14" s="38" t="str">
        <x:v>IA / Seguridad</x:v>
      </x:c>
      <x:c r="C14" s="34" t="str">
        <x:v>Envío accidental de datos sensibles al chatbot</x:v>
      </x:c>
      <x:c r="D14" s="34" t="str">
        <x:v>Construcción incorrecta del contexto o envío de información personal a Gemini.</x:v>
      </x:c>
      <x:c r="E14" s="38" t="n">
        <x:v>2</x:v>
      </x:c>
      <x:c r="F14" s="38" t="n">
        <x:v>5</x:v>
      </x:c>
      <x:c r="G14" s="38" t="n">
        <x:f>E14*F14</x:f>
        <x:v>10</x:v>
      </x:c>
      <x:c r="H14" s="38" t="str">
        <x:f>IF(G14&gt;=17,"Crítico",IF(G14&gt;=10,"Alto",IF(G14&gt;=5,"Medio","Bajo")))</x:f>
        <x:v>Alto</x:v>
      </x:c>
      <x:c r="I14" s="34" t="str">
        <x:v>Mitigar</x:v>
      </x:c>
      <x:c r="J14" s="34" t="str">
        <x:v>Filtrar el contexto en backend y prohibir el envío de credenciales, datos personales o información de otras organizaciones.</x:v>
      </x:c>
      <x:c r="K14" s="34" t="str">
        <x:v>Deshabilitar integración IA hasta corregir el filtrado y revisar trazas de prueba.</x:v>
      </x:c>
      <x:c r="L14" s="34" t="str">
        <x:v>Ivan Tamayo / Richard Diaz</x:v>
      </x:c>
      <x:c r="M14" s="38" t="str">
        <x:v>Abierto</x:v>
      </x:c>
      <x:c r="N14" s="38" t="n">
        <x:v>1</x:v>
      </x:c>
      <x:c r="O14" s="38" t="n">
        <x:v>4</x:v>
      </x:c>
      <x:c r="P14" s="38" t="n">
        <x:f>N14*O14</x:f>
        <x:v>4</x:v>
      </x:c>
      <x:c r="Q14" s="38" t="str">
        <x:f>IF(P14&gt;=17,"Crítico",IF(P14&gt;=10,"Alto",IF(P14&gt;=5,"Medio","Bajo")))</x:f>
        <x:v>Bajo</x:v>
      </x:c>
      <x:c r="R14" s="34" t="str">
        <x:v>Aplicar DoD específica para IA.</x:v>
      </x:c>
    </x:row>
    <x:row r="15" ht="21.600000381469727" hidden="0" customHeight="1">
      <x:c r="A15" s="38" t="str">
        <x:v>R-10</x:v>
      </x:c>
      <x:c r="B15" s="38" t="str">
        <x:v>Repositorio</x:v>
      </x:c>
      <x:c r="C15" s="34" t="str">
        <x:v>Conflictos, pérdida de cambios o mala gestión del repositorio GitHub</x:v>
      </x:c>
      <x:c r="D15" s="34" t="str">
        <x:v>Commits grandes, ramas sin actualizar o trabajo simultáneo sobre los mismos archivos.</x:v>
      </x:c>
      <x:c r="E15" s="38" t="n">
        <x:v>3</x:v>
      </x:c>
      <x:c r="F15" s="38" t="n">
        <x:v>4</x:v>
      </x:c>
      <x:c r="G15" s="38" t="n">
        <x:f>E15*F15</x:f>
        <x:v>12</x:v>
      </x:c>
      <x:c r="H15" s="38" t="str">
        <x:f>IF(G15&gt;=17,"Crítico",IF(G15&gt;=10,"Alto",IF(G15&gt;=5,"Medio","Bajo")))</x:f>
        <x:v>Alto</x:v>
      </x:c>
      <x:c r="I15" s="34" t="str">
        <x:v>Mitigar</x:v>
      </x:c>
      <x:c r="J15" s="34" t="str">
        <x:v>Usar un único repositorio oficial, ramas por tarea/HU, pull requests y commits frecuentes.</x:v>
      </x:c>
      <x:c r="K15" s="34" t="str">
        <x:v>Recuperar cambios desde historial Git y resolver conflictos con revisión de otro integrante.</x:v>
      </x:c>
      <x:c r="L15" s="34" t="str">
        <x:v>Equipo</x:v>
      </x:c>
      <x:c r="M15" s="38" t="str">
        <x:v>Abierto</x:v>
      </x:c>
      <x:c r="N15" s="38" t="n">
        <x:v>2</x:v>
      </x:c>
      <x:c r="O15" s="38" t="n">
        <x:v>2</x:v>
      </x:c>
      <x:c r="P15" s="38" t="n">
        <x:f>N15*O15</x:f>
        <x:v>4</x:v>
      </x:c>
      <x:c r="Q15" s="38" t="str">
        <x:f>IF(P15&gt;=17,"Crítico",IF(P15&gt;=10,"Alto",IF(P15&gt;=5,"Medio","Bajo")))</x:f>
        <x:v>Bajo</x:v>
      </x:c>
      <x:c r="R15" s="34" t="str">
        <x:v>Repositorio oficial como fuente única.</x:v>
      </x:c>
    </x:row>
    <x:row r="16" ht="21.600000381469727" hidden="0" customHeight="1">
      <x:c r="A16" s="38" t="str">
        <x:v>R-11</x:v>
      </x:c>
      <x:c r="B16" s="38" t="str">
        <x:v>Infraestructura</x:v>
      </x:c>
      <x:c r="C16" s="34" t="str">
        <x:v>Problemas de configuración con Docker</x:v>
      </x:c>
      <x:c r="D16" s="34" t="str">
        <x:v>Diferencias de versiones, variables de entorno o volúmenes mal configurados.</x:v>
      </x:c>
      <x:c r="E16" s="38" t="n">
        <x:v>3</x:v>
      </x:c>
      <x:c r="F16" s="38" t="n">
        <x:v>3</x:v>
      </x:c>
      <x:c r="G16" s="38" t="n">
        <x:f>E16*F16</x:f>
        <x:v>9</x:v>
      </x:c>
      <x:c r="H16" s="38" t="str">
        <x:f>IF(G16&gt;=17,"Crítico",IF(G16&gt;=10,"Alto",IF(G16&gt;=5,"Medio","Bajo")))</x:f>
        <x:v>Medio</x:v>
      </x:c>
      <x:c r="I16" s="34" t="str">
        <x:v>Mitigar</x:v>
      </x:c>
      <x:c r="J16" s="34" t="str">
        <x:v>Versionar Dockerfile/docker-compose, documentar variables y probar el entorno en más de un equipo.</x:v>
      </x:c>
      <x:c r="K16" s="34" t="str">
        <x:v>Ejecutar temporalmente los componentes de forma local mientras se corrige la configuración de contenedores.</x:v>
      </x:c>
      <x:c r="L16" s="34" t="str">
        <x:v>Ivan Tamayo / Richard Diaz</x:v>
      </x:c>
      <x:c r="M16" s="38" t="str">
        <x:v>Abierto</x:v>
      </x:c>
      <x:c r="N16" s="38" t="n">
        <x:v>2</x:v>
      </x:c>
      <x:c r="O16" s="38" t="n">
        <x:v>2</x:v>
      </x:c>
      <x:c r="P16" s="38" t="n">
        <x:f>N16*O16</x:f>
        <x:v>4</x:v>
      </x:c>
      <x:c r="Q16" s="38" t="str">
        <x:f>IF(P16&gt;=17,"Crítico",IF(P16&gt;=10,"Alto",IF(P16&gt;=5,"Medio","Bajo")))</x:f>
        <x:v>Bajo</x:v>
      </x:c>
      <x:c r="R16" s="34" t="str">
        <x:v>Docker es arquitectura objetivo.</x:v>
      </x:c>
    </x:row>
    <x:row r="17" ht="21.600000381469727" hidden="0" customHeight="1">
      <x:c r="A17" s="38" t="str">
        <x:v>R-12</x:v>
      </x:c>
      <x:c r="B17" s="38" t="str">
        <x:v>Archivos</x:v>
      </x:c>
      <x:c r="C17" s="34" t="str">
        <x:v>Pérdida o inaccesibilidad de archivos almacenados localmente</x:v>
      </x:c>
      <x:c r="D17" s="34" t="str">
        <x:v>Permisos, rutas incorrectas, eliminación accidental o falta de persistencia del volumen.</x:v>
      </x:c>
      <x:c r="E17" s="38" t="n">
        <x:v>3</x:v>
      </x:c>
      <x:c r="F17" s="38" t="n">
        <x:v>3</x:v>
      </x:c>
      <x:c r="G17" s="38" t="n">
        <x:f>E17*F17</x:f>
        <x:v>9</x:v>
      </x:c>
      <x:c r="H17" s="38" t="str">
        <x:f>IF(G17&gt;=17,"Crítico",IF(G17&gt;=10,"Alto",IF(G17&gt;=5,"Medio","Bajo")))</x:f>
        <x:v>Medio</x:v>
      </x:c>
      <x:c r="I17" s="34" t="str">
        <x:v>Mitigar</x:v>
      </x:c>
      <x:c r="J17" s="34" t="str">
        <x:v>Usar rutas controladas, volumen persistente y respaldos del directorio de archivos de prueba.</x:v>
      </x:c>
      <x:c r="K17" s="34" t="str">
        <x:v>Restaurar desde respaldo o regenerar archivos de demostración autorizados.</x:v>
      </x:c>
      <x:c r="L17" s="34" t="str">
        <x:v>Ivan Tamayo / Richard Diaz</x:v>
      </x:c>
      <x:c r="M17" s="38" t="str">
        <x:v>Abierto</x:v>
      </x:c>
      <x:c r="N17" s="38" t="n">
        <x:v>2</x:v>
      </x:c>
      <x:c r="O17" s="38" t="n">
        <x:v>2</x:v>
      </x:c>
      <x:c r="P17" s="38" t="n">
        <x:f>N17*O17</x:f>
        <x:v>4</x:v>
      </x:c>
      <x:c r="Q17" s="38" t="str">
        <x:f>IF(P17&gt;=17,"Crítico",IF(P17&gt;=10,"Alto",IF(P17&gt;=5,"Medio","Bajo")))</x:f>
        <x:v>Bajo</x:v>
      </x:c>
      <x:c r="R17" s="34" t="str">
        <x:v>Aplica al prototipo local.</x:v>
      </x:c>
    </x:row>
    <x:row r="18" ht="21.600000381469727" hidden="0" customHeight="1">
      <x:c r="A18" s="38" t="str">
        <x:v>R-13</x:v>
      </x:c>
      <x:c r="B18" s="38" t="str">
        <x:v>UX / Accesibilidad</x:v>
      </x:c>
      <x:c r="C18" s="34" t="str">
        <x:v>Interfaz difícil de utilizar para usuarios con baja experiencia digital</x:v>
      </x:c>
      <x:c r="D18" s="34" t="str">
        <x:v>Textos pequeños, navegación compleja o controles poco claros, especialmente para adultos mayores.</x:v>
      </x:c>
      <x:c r="E18" s="38" t="n">
        <x:v>3</x:v>
      </x:c>
      <x:c r="F18" s="38" t="n">
        <x:v>4</x:v>
      </x:c>
      <x:c r="G18" s="38" t="n">
        <x:f>E18*F18</x:f>
        <x:v>12</x:v>
      </x:c>
      <x:c r="H18" s="38" t="str">
        <x:f>IF(G18&gt;=17,"Crítico",IF(G18&gt;=10,"Alto",IF(G18&gt;=5,"Medio","Bajo")))</x:f>
        <x:v>Alto</x:v>
      </x:c>
      <x:c r="I18" s="34" t="str">
        <x:v>Mitigar</x:v>
      </x:c>
      <x:c r="J18" s="34" t="str">
        <x:v>Aplicar mockups legibles, alto contraste, navegación consistente y pruebas de usabilidad.</x:v>
      </x:c>
      <x:c r="K18" s="34" t="str">
        <x:v>Simplificar pantallas problemáticas y priorizar los flujos esenciales del vecino.</x:v>
      </x:c>
      <x:c r="L18" s="34" t="str">
        <x:v>Rodrigo Romero</x:v>
      </x:c>
      <x:c r="M18" s="38" t="str">
        <x:v>Abierto</x:v>
      </x:c>
      <x:c r="N18" s="38" t="n">
        <x:v>2</x:v>
      </x:c>
      <x:c r="O18" s="38" t="n">
        <x:v>3</x:v>
      </x:c>
      <x:c r="P18" s="38" t="n">
        <x:f>N18*O18</x:f>
        <x:v>6</x:v>
      </x:c>
      <x:c r="Q18" s="38" t="str">
        <x:f>IF(P18&gt;=17,"Crítico",IF(P18&gt;=10,"Alto",IF(P18&gt;=5,"Medio","Bajo")))</x:f>
        <x:v>Medio</x:v>
      </x:c>
      <x:c r="R18" s="34" t="str">
        <x:v>Validar durante pruebas con usuarios.</x:v>
      </x:c>
    </x:row>
    <x:row r="19" ht="21.600000381469727" hidden="0" customHeight="1">
      <x:c r="A19" s="38" t="str">
        <x:v>R-14</x:v>
      </x:c>
      <x:c r="B19" s="38" t="str">
        <x:v>Calidad</x:v>
      </x:c>
      <x:c r="C19" s="34" t="str">
        <x:v>Defectos detectados demasiado tarde</x:v>
      </x:c>
      <x:c r="D19" s="34" t="str">
        <x:v>Pruebas concentradas al final o falta de validación continua por Sprint.</x:v>
      </x:c>
      <x:c r="E19" s="38" t="n">
        <x:v>4</x:v>
      </x:c>
      <x:c r="F19" s="38" t="n">
        <x:v>4</x:v>
      </x:c>
      <x:c r="G19" s="38" t="n">
        <x:f>E19*F19</x:f>
        <x:v>16</x:v>
      </x:c>
      <x:c r="H19" s="38" t="str">
        <x:f>IF(G19&gt;=17,"Crítico",IF(G19&gt;=10,"Alto",IF(G19&gt;=5,"Medio","Bajo")))</x:f>
        <x:v>Alto</x:v>
      </x:c>
      <x:c r="I19" s="34" t="str">
        <x:v>Mitigar</x:v>
      </x:c>
      <x:c r="J19" s="34" t="str">
        <x:v>Ejecutar pruebas funcionales y de integración durante cada Sprint, usando la DoD antes de marcar una HU como Hecha.</x:v>
      </x:c>
      <x:c r="K19" s="34" t="str">
        <x:v>Priorizar corrección de defectos críticos y congelar funcionalidades secundarias en la semana 15.</x:v>
      </x:c>
      <x:c r="L19" s="34" t="str">
        <x:v>Richard Diaz</x:v>
      </x:c>
      <x:c r="M19" s="38" t="str">
        <x:v>Abierto</x:v>
      </x:c>
      <x:c r="N19" s="38" t="n">
        <x:v>2</x:v>
      </x:c>
      <x:c r="O19" s="38" t="n">
        <x:v>4</x:v>
      </x:c>
      <x:c r="P19" s="38" t="n">
        <x:f>N19*O19</x:f>
        <x:v>8</x:v>
      </x:c>
      <x:c r="Q19" s="38" t="str">
        <x:f>IF(P19&gt;=17,"Crítico",IF(P19&gt;=10,"Alto",IF(P19&gt;=5,"Medio","Bajo")))</x:f>
        <x:v>Medio</x:v>
      </x:c>
      <x:c r="R19" s="34" t="str">
        <x:v>QA continuo, no solo al final.</x:v>
      </x:c>
    </x:row>
    <x:row r="20" ht="21.600000381469727" hidden="0" customHeight="1">
      <x:c r="A20" s="38" t="str">
        <x:v>R-15</x:v>
      </x:c>
      <x:c r="B20" s="38" t="str">
        <x:v>Datos</x:v>
      </x:c>
      <x:c r="C20" s="34" t="str">
        <x:v>Datos insuficientes para demostrar dashboards e indicadores</x:v>
      </x:c>
      <x:c r="D20" s="34" t="str">
        <x:v>Falta de registros reales o imposibilidad de usar datos personales en la demostración.</x:v>
      </x:c>
      <x:c r="E20" s="38" t="n">
        <x:v>3</x:v>
      </x:c>
      <x:c r="F20" s="38" t="n">
        <x:v>3</x:v>
      </x:c>
      <x:c r="G20" s="38" t="n">
        <x:f>E20*F20</x:f>
        <x:v>9</x:v>
      </x:c>
      <x:c r="H20" s="38" t="str">
        <x:f>IF(G20&gt;=17,"Crítico",IF(G20&gt;=10,"Alto",IF(G20&gt;=5,"Medio","Bajo")))</x:f>
        <x:v>Medio</x:v>
      </x:c>
      <x:c r="I20" s="34" t="str">
        <x:v>Mitigar</x:v>
      </x:c>
      <x:c r="J20" s="34" t="str">
        <x:v>Preparar datos sintéticos coherentes para múltiples juntas, sectores, edades, eventos y solicitudes.</x:v>
      </x:c>
      <x:c r="K20" s="34" t="str">
        <x:v>Cargar un conjunto controlado de datos de demostración antes de la revisión del dashboard.</x:v>
      </x:c>
      <x:c r="L20" s="34" t="str">
        <x:v>Richard Diaz / Ivan Tamayo</x:v>
      </x:c>
      <x:c r="M20" s="38" t="str">
        <x:v>Abierto</x:v>
      </x:c>
      <x:c r="N20" s="38" t="n">
        <x:v>1</x:v>
      </x:c>
      <x:c r="O20" s="38" t="n">
        <x:v>3</x:v>
      </x:c>
      <x:c r="P20" s="38" t="n">
        <x:f>N20*O20</x:f>
        <x:v>3</x:v>
      </x:c>
      <x:c r="Q20" s="38" t="str">
        <x:f>IF(P20&gt;=17,"Crítico",IF(P20&gt;=10,"Alto",IF(P20&gt;=5,"Medio","Bajo")))</x:f>
        <x:v>Bajo</x:v>
      </x:c>
      <x:c r="R20" s="34" t="str">
        <x:v>Datos sintéticos sin información real.</x:v>
      </x:c>
    </x:row>
    <x:row r="21" ht="21.600000381469727" hidden="0" customHeight="1">
      <x:c r="A21" s="38" t="str">
        <x:v>R-16</x:v>
      </x:c>
      <x:c r="B21" s="38" t="str">
        <x:v>Rendimiento</x:v>
      </x:c>
      <x:c r="C21" s="34" t="str">
        <x:v>Consultas lentas en dashboards agregados</x:v>
      </x:c>
      <x:c r="D21" s="34" t="str">
        <x:v>Consultas no optimizadas o filtros sobre un volumen creciente de datos.</x:v>
      </x:c>
      <x:c r="E21" s="38" t="n">
        <x:v>2</x:v>
      </x:c>
      <x:c r="F21" s="38" t="n">
        <x:v>3</x:v>
      </x:c>
      <x:c r="G21" s="38" t="n">
        <x:f>E21*F21</x:f>
        <x:v>6</x:v>
      </x:c>
      <x:c r="H21" s="38" t="str">
        <x:f>IF(G21&gt;=17,"Crítico",IF(G21&gt;=10,"Alto",IF(G21&gt;=5,"Medio","Bajo")))</x:f>
        <x:v>Medio</x:v>
      </x:c>
      <x:c r="I21" s="34" t="str">
        <x:v>Mitigar</x:v>
      </x:c>
      <x:c r="J21" s="34" t="str">
        <x:v>Diseñar índices, consultas agregadas eficientes y medir tiempos en los dashboards principales.</x:v>
      </x:c>
      <x:c r="K21" s="34" t="str">
        <x:v>Simplificar temporalmente indicadores de baja prioridad y optimizar consultas críticas.</x:v>
      </x:c>
      <x:c r="L21" s="34" t="str">
        <x:v>Ivan Tamayo / Richard Diaz</x:v>
      </x:c>
      <x:c r="M21" s="38" t="str">
        <x:v>Abierto</x:v>
      </x:c>
      <x:c r="N21" s="38" t="n">
        <x:v>1</x:v>
      </x:c>
      <x:c r="O21" s="38" t="n">
        <x:v>2</x:v>
      </x:c>
      <x:c r="P21" s="38" t="n">
        <x:f>N21*O21</x:f>
        <x:v>2</x:v>
      </x:c>
      <x:c r="Q21" s="38" t="str">
        <x:f>IF(P21&gt;=17,"Crítico",IF(P21&gt;=10,"Alto",IF(P21&gt;=5,"Medio","Bajo")))</x:f>
        <x:v>Bajo</x:v>
      </x:c>
      <x:c r="R21" s="34" t="str">
        <x:v>Revisar en Sprints 4 y 5.</x:v>
      </x:c>
    </x:row>
    <x:row r="22" ht="21.600000381469727" hidden="0" customHeight="1">
      <x:c r="A22" s="38" t="str">
        <x:v>R-17</x:v>
      </x:c>
      <x:c r="B22" s="38" t="str">
        <x:v>Documentación</x:v>
      </x:c>
      <x:c r="C22" s="34" t="str">
        <x:v>Evidencias o documentación incompletas para la evaluación</x:v>
      </x:c>
      <x:c r="D22" s="34" t="str">
        <x:v>Trabajo realizado sin capturas, commits claros, README o actualización de documentos.</x:v>
      </x:c>
      <x:c r="E22" s="38" t="n">
        <x:v>3</x:v>
      </x:c>
      <x:c r="F22" s="38" t="n">
        <x:v>4</x:v>
      </x:c>
      <x:c r="G22" s="38" t="n">
        <x:f>E22*F22</x:f>
        <x:v>12</x:v>
      </x:c>
      <x:c r="H22" s="38" t="str">
        <x:f>IF(G22&gt;=17,"Crítico",IF(G22&gt;=10,"Alto",IF(G22&gt;=5,"Medio","Bajo")))</x:f>
        <x:v>Alto</x:v>
      </x:c>
      <x:c r="I22" s="34" t="str">
        <x:v>Mitigar</x:v>
      </x:c>
      <x:c r="J22" s="34" t="str">
        <x:v>Actualizar README, evidencias y documentos durante cada Sprint, no al finalizar el semestre.</x:v>
      </x:c>
      <x:c r="K22" s="34" t="str">
        <x:v>Realizar consolidación prioritaria de evidencias durante semana 15 y semanas 16–17.</x:v>
      </x:c>
      <x:c r="L22" s="34" t="str">
        <x:v>Equipo</x:v>
      </x:c>
      <x:c r="M22" s="38" t="str">
        <x:v>Abierto</x:v>
      </x:c>
      <x:c r="N22" s="38" t="n">
        <x:v>2</x:v>
      </x:c>
      <x:c r="O22" s="38" t="n">
        <x:v>2</x:v>
      </x:c>
      <x:c r="P22" s="38" t="n">
        <x:f>N22*O22</x:f>
        <x:v>4</x:v>
      </x:c>
      <x:c r="Q22" s="38" t="str">
        <x:f>IF(P22&gt;=17,"Crítico",IF(P22&gt;=10,"Alto",IF(P22&gt;=5,"Medio","Bajo")))</x:f>
        <x:v>Bajo</x:v>
      </x:c>
      <x:c r="R22" s="34" t="str">
        <x:v>GitHub debe mantener trazabilidad.</x:v>
      </x:c>
    </x:row>
    <x:row r="23" ht="21.600000381469727" hidden="0" customHeight="1">
      <x:c r="A23" s="38" t="str">
        <x:v>R-18</x:v>
      </x:c>
      <x:c r="B23" s="38" t="str">
        <x:v>Diseño</x:v>
      </x:c>
      <x:c r="C23" s="34" t="str">
        <x:v>Retraso de mockups o cambios tardíos de UX/UI</x:v>
      </x:c>
      <x:c r="D23" s="34" t="str">
        <x:v>Las vistas no están listas antes de implementar frontend o requieren rediseño significativo.</x:v>
      </x:c>
      <x:c r="E23" s="38" t="n">
        <x:v>3</x:v>
      </x:c>
      <x:c r="F23" s="38" t="n">
        <x:v>3</x:v>
      </x:c>
      <x:c r="G23" s="38" t="n">
        <x:f>E23*F23</x:f>
        <x:v>9</x:v>
      </x:c>
      <x:c r="H23" s="38" t="str">
        <x:f>IF(G23&gt;=17,"Crítico",IF(G23&gt;=10,"Alto",IF(G23&gt;=5,"Medio","Bajo")))</x:f>
        <x:v>Medio</x:v>
      </x:c>
      <x:c r="I23" s="34" t="str">
        <x:v>Mitigar</x:v>
      </x:c>
      <x:c r="J23" s="34" t="str">
        <x:v>Priorizar primero las pantallas de los Sprints 1 y 2 y validar estructura visual antes de desarrollar.</x:v>
      </x:c>
      <x:c r="K23" s="34" t="str">
        <x:v>Usar componentes UI consistentes y ajustar primero los flujos críticos del MVP.</x:v>
      </x:c>
      <x:c r="L23" s="34" t="str">
        <x:v>Rodrigo Romero</x:v>
      </x:c>
      <x:c r="M23" s="38" t="str">
        <x:v>Abierto</x:v>
      </x:c>
      <x:c r="N23" s="38" t="n">
        <x:v>2</x:v>
      </x:c>
      <x:c r="O23" s="38" t="n">
        <x:v>2</x:v>
      </x:c>
      <x:c r="P23" s="38" t="n">
        <x:f>N23*O23</x:f>
        <x:v>4</x:v>
      </x:c>
      <x:c r="Q23" s="38" t="str">
        <x:f>IF(P23&gt;=17,"Crítico",IF(P23&gt;=10,"Alto",IF(P23&gt;=5,"Medio","Bajo")))</x:f>
        <x:v>Bajo</x:v>
      </x:c>
      <x:c r="R23" s="34" t="str">
        <x:v>Mockups pueden avanzar en paralelo.</x:v>
      </x:c>
    </x:row>
  </x:sheetData>
  <x:mergeCells>
    <x:mergeCell ref="A1:R1"/>
    <x:mergeCell ref="A2:R2"/>
  </x:mergeCells>
  <x:conditionalFormatting sqref="H6:H23">
    <x:cfRule type="expression" dxfId="0" priority="1">
      <x:formula>H6="Crítico"</x:formula>
    </x:cfRule>
    <x:cfRule type="expression" dxfId="1" priority="2">
      <x:formula>H6="Alto"</x:formula>
    </x:cfRule>
    <x:cfRule type="expression" dxfId="2" priority="3">
      <x:formula>H6="Medio"</x:formula>
    </x:cfRule>
    <x:cfRule type="expression" dxfId="3" priority="4">
      <x:formula>H6="Bajo"</x:formula>
    </x:cfRule>
  </x:conditionalFormatting>
  <x:conditionalFormatting sqref="Q6:Q23">
    <x:cfRule type="expression" dxfId="4" priority="5">
      <x:formula>Q6="Crítico"</x:formula>
    </x:cfRule>
    <x:cfRule type="expression" dxfId="5" priority="6">
      <x:formula>Q6="Alto"</x:formula>
    </x:cfRule>
    <x:cfRule type="expression" dxfId="6" priority="7">
      <x:formula>Q6="Medio"</x:formula>
    </x:cfRule>
    <x:cfRule type="expression" dxfId="7" priority="8">
      <x:formula>Q6="Bajo"</x:formula>
    </x:cfRule>
  </x:conditionalFormatting>
  <x:conditionalFormatting sqref="G6:G23">
    <x:cfRule type="colorScale" priority="9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P6:P23">
    <x:cfRule type="colorScale" priority="10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4">
    <x:dataValidation type="list" sqref="E6:F23">
      <x:formula1>"1,2,3,4,5"</x:formula1>
    </x:dataValidation>
    <x:dataValidation type="list" sqref="N6:O23">
      <x:formula1>"1,2,3,4,5"</x:formula1>
    </x:dataValidation>
    <x:dataValidation type="list" sqref="I6:I23">
      <x:formula1>"Evitar,Mitigar,Transferir,Aceptar"</x:formula1>
    </x:dataValidation>
    <x:dataValidation type="list" sqref="M6:M23">
      <x:formula1>"Abierto,En seguimiento,Mitigado,Cerrado"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e21af7dfce4d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8" max="8" width="14" hidden="0" customWidth="1"/>
    <x:col min="9" max="9" width="10" hidden="0" customWidth="1"/>
  </x:cols>
  <x:sheetData>
    <x:row r="1">
      <x:c r="A1" s="41" t="str">
        <x:v>RESUMEN Y MAPA DE RIESGOS — PROYECTO APT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3">
      <x:c r="A3" s="45" t="str">
        <x:v>Total riesgos</x:v>
      </x:c>
      <x:c r="B3" s="45" t="str">
        <x:v>Críticos</x:v>
      </x:c>
      <x:c r="C3" s="45" t="str">
        <x:v>Altos</x:v>
      </x:c>
      <x:c r="D3" s="45" t="str">
        <x:v>Medios</x:v>
      </x:c>
      <x:c r="E3" s="45" t="str">
        <x:v>Bajos</x:v>
      </x:c>
      <x:c r="H3" s="57" t="str">
        <x:v>Nivel</x:v>
      </x:c>
      <x:c r="I3" s="57" t="str">
        <x:v>Cantidad</x:v>
      </x:c>
    </x:row>
    <x:row r="4">
      <x:c r="A4" s="49" t="n">
        <x:f>COUNTA('Matriz de Riesgos'!A6:A23)</x:f>
        <x:v>18</x:v>
      </x:c>
      <x:c r="B4" s="49" t="n">
        <x:f>COUNTIF('Matriz de Riesgos'!H6:H23,"Crítico")</x:f>
        <x:v>0</x:v>
      </x:c>
      <x:c r="C4" s="49" t="n">
        <x:f>COUNTIF('Matriz de Riesgos'!H6:H23,"Alto")</x:f>
        <x:v>12</x:v>
      </x:c>
      <x:c r="D4" s="49" t="n">
        <x:f>COUNTIF('Matriz de Riesgos'!H6:H23,"Medio")</x:f>
        <x:v>6</x:v>
      </x:c>
      <x:c r="E4" s="49" t="n">
        <x:f>COUNTIF('Matriz de Riesgos'!H6:H23,"Bajo")</x:f>
        <x:v>0</x:v>
      </x:c>
      <x:c r="H4" s="68" t="str">
        <x:v>Crítico</x:v>
      </x:c>
      <x:c r="I4" s="68" t="n">
        <x:f>COUNTIF('Matriz de Riesgos'!H6:H23,"Crítico")</x:f>
        <x:v>0</x:v>
      </x:c>
    </x:row>
    <x:row r="5">
      <x:c r="H5" s="68" t="str">
        <x:v>Alto</x:v>
      </x:c>
      <x:c r="I5" s="68" t="n">
        <x:f>COUNTIF('Matriz de Riesgos'!H6:H23,"Alto")</x:f>
        <x:v>12</x:v>
      </x:c>
    </x:row>
    <x:row r="6">
      <x:c r="H6" s="68" t="str">
        <x:v>Medio</x:v>
      </x:c>
      <x:c r="I6" s="68" t="n">
        <x:f>COUNTIF('Matriz de Riesgos'!H6:H23,"Medio")</x:f>
        <x:v>6</x:v>
      </x:c>
    </x:row>
    <x:row r="7">
      <x:c r="A7" s="53" t="str">
        <x:v>MAPA 5x5 — RIESGO INHERENTE (Cantidad de riesgos)</x:v>
      </x:c>
      <x:c r="B7" s="53"/>
      <x:c r="C7" s="53"/>
      <x:c r="D7" s="53"/>
      <x:c r="E7" s="53"/>
      <x:c r="F7" s="53"/>
      <x:c r="H7" s="68" t="str">
        <x:v>Bajo</x:v>
      </x:c>
      <x:c r="I7" s="68" t="n">
        <x:f>COUNTIF('Matriz de Riesgos'!H6:H23,"Bajo")</x:f>
        <x:v>0</x:v>
      </x:c>
    </x:row>
    <x:row r="8">
      <x:c r="A8" s="57" t="str">
        <x:v>Impacto \ Probabilidad</x:v>
      </x:c>
      <x:c r="B8" s="57" t="n">
        <x:v>1</x:v>
      </x:c>
      <x:c r="C8" s="57" t="n">
        <x:v>2</x:v>
      </x:c>
      <x:c r="D8" s="57" t="n">
        <x:v>3</x:v>
      </x:c>
      <x:c r="E8" s="57" t="n">
        <x:v>4</x:v>
      </x:c>
      <x:c r="F8" s="57" t="n">
        <x:v>5</x:v>
      </x:c>
    </x:row>
    <x:row r="9">
      <x:c r="A9" s="74" t="n">
        <x:v>5</x:v>
      </x:c>
      <x:c r="B9" s="75" t="n">
        <x:f>COUNTIFS('Matriz de Riesgos'!$E$6:$E$23,1,'Matriz de Riesgos'!$F$6:$F$23,5)</x:f>
        <x:v>0</x:v>
      </x:c>
      <x:c r="C9" s="76" t="n">
        <x:f>COUNTIFS('Matriz de Riesgos'!$E$6:$E$23,2,'Matriz de Riesgos'!$F$6:$F$23,5)</x:f>
        <x:v>2</x:v>
      </x:c>
      <x:c r="D9" s="76" t="n">
        <x:f>COUNTIFS('Matriz de Riesgos'!$E$6:$E$23,3,'Matriz de Riesgos'!$F$6:$F$23,5)</x:f>
        <x:v>1</x:v>
      </x:c>
      <x:c r="E9" s="77" t="n">
        <x:f>COUNTIFS('Matriz de Riesgos'!$E$6:$E$23,4,'Matriz de Riesgos'!$F$6:$F$23,5)</x:f>
        <x:v>0</x:v>
      </x:c>
      <x:c r="F9" s="77" t="n">
        <x:f>COUNTIFS('Matriz de Riesgos'!$E$6:$E$23,5,'Matriz de Riesgos'!$F$6:$F$23,5)</x:f>
        <x:v>0</x:v>
      </x:c>
    </x:row>
    <x:row r="10">
      <x:c r="A10" s="74" t="n">
        <x:v>4</x:v>
      </x:c>
      <x:c r="B10" s="78" t="n">
        <x:f>COUNTIFS('Matriz de Riesgos'!$E$6:$E$23,1,'Matriz de Riesgos'!$F$6:$F$23,4)</x:f>
        <x:v>0</x:v>
      </x:c>
      <x:c r="C10" s="75" t="n">
        <x:f>COUNTIFS('Matriz de Riesgos'!$E$6:$E$23,2,'Matriz de Riesgos'!$F$6:$F$23,4)</x:f>
        <x:v>0</x:v>
      </x:c>
      <x:c r="D10" s="76" t="n">
        <x:f>COUNTIFS('Matriz de Riesgos'!$E$6:$E$23,3,'Matriz de Riesgos'!$F$6:$F$23,4)</x:f>
        <x:v>7</x:v>
      </x:c>
      <x:c r="E10" s="76" t="n">
        <x:f>COUNTIFS('Matriz de Riesgos'!$E$6:$E$23,4,'Matriz de Riesgos'!$F$6:$F$23,4)</x:f>
        <x:v>2</x:v>
      </x:c>
      <x:c r="F10" s="77" t="n">
        <x:f>COUNTIFS('Matriz de Riesgos'!$E$6:$E$23,5,'Matriz de Riesgos'!$F$6:$F$23,4)</x:f>
        <x:v>0</x:v>
      </x:c>
    </x:row>
    <x:row r="11">
      <x:c r="A11" s="74" t="n">
        <x:v>3</x:v>
      </x:c>
      <x:c r="B11" s="78" t="n">
        <x:f>COUNTIFS('Matriz de Riesgos'!$E$6:$E$23,1,'Matriz de Riesgos'!$F$6:$F$23,3)</x:f>
        <x:v>0</x:v>
      </x:c>
      <x:c r="C11" s="75" t="n">
        <x:f>COUNTIFS('Matriz de Riesgos'!$E$6:$E$23,2,'Matriz de Riesgos'!$F$6:$F$23,3)</x:f>
        <x:v>1</x:v>
      </x:c>
      <x:c r="D11" s="75" t="n">
        <x:f>COUNTIFS('Matriz de Riesgos'!$E$6:$E$23,3,'Matriz de Riesgos'!$F$6:$F$23,3)</x:f>
        <x:v>5</x:v>
      </x:c>
      <x:c r="E11" s="76" t="n">
        <x:f>COUNTIFS('Matriz de Riesgos'!$E$6:$E$23,4,'Matriz de Riesgos'!$F$6:$F$23,3)</x:f>
        <x:v>0</x:v>
      </x:c>
      <x:c r="F11" s="76" t="n">
        <x:f>COUNTIFS('Matriz de Riesgos'!$E$6:$E$23,5,'Matriz de Riesgos'!$F$6:$F$23,3)</x:f>
        <x:v>0</x:v>
      </x:c>
    </x:row>
    <x:row r="12">
      <x:c r="A12" s="74" t="n">
        <x:v>2</x:v>
      </x:c>
      <x:c r="B12" s="78" t="n">
        <x:f>COUNTIFS('Matriz de Riesgos'!$E$6:$E$23,1,'Matriz de Riesgos'!$F$6:$F$23,2)</x:f>
        <x:v>0</x:v>
      </x:c>
      <x:c r="C12" s="78" t="n">
        <x:f>COUNTIFS('Matriz de Riesgos'!$E$6:$E$23,2,'Matriz de Riesgos'!$F$6:$F$23,2)</x:f>
        <x:v>0</x:v>
      </x:c>
      <x:c r="D12" s="75" t="n">
        <x:f>COUNTIFS('Matriz de Riesgos'!$E$6:$E$23,3,'Matriz de Riesgos'!$F$6:$F$23,2)</x:f>
        <x:v>0</x:v>
      </x:c>
      <x:c r="E12" s="75" t="n">
        <x:f>COUNTIFS('Matriz de Riesgos'!$E$6:$E$23,4,'Matriz de Riesgos'!$F$6:$F$23,2)</x:f>
        <x:v>0</x:v>
      </x:c>
      <x:c r="F12" s="76" t="n">
        <x:f>COUNTIFS('Matriz de Riesgos'!$E$6:$E$23,5,'Matriz de Riesgos'!$F$6:$F$23,2)</x:f>
        <x:v>0</x:v>
      </x:c>
    </x:row>
    <x:row r="13">
      <x:c r="A13" s="74" t="n">
        <x:v>1</x:v>
      </x:c>
      <x:c r="B13" s="78" t="n">
        <x:f>COUNTIFS('Matriz de Riesgos'!$E$6:$E$23,1,'Matriz de Riesgos'!$F$6:$F$23,1)</x:f>
        <x:v>0</x:v>
      </x:c>
      <x:c r="C13" s="78" t="n">
        <x:f>COUNTIFS('Matriz de Riesgos'!$E$6:$E$23,2,'Matriz de Riesgos'!$F$6:$F$23,1)</x:f>
        <x:v>0</x:v>
      </x:c>
      <x:c r="D13" s="78" t="n">
        <x:f>COUNTIFS('Matriz de Riesgos'!$E$6:$E$23,3,'Matriz de Riesgos'!$F$6:$F$23,1)</x:f>
        <x:v>0</x:v>
      </x:c>
      <x:c r="E13" s="78" t="n">
        <x:f>COUNTIFS('Matriz de Riesgos'!$E$6:$E$23,4,'Matriz de Riesgos'!$F$6:$F$23,1)</x:f>
        <x:v>0</x:v>
      </x:c>
      <x:c r="F13" s="75" t="n">
        <x:f>COUNTIFS('Matriz de Riesgos'!$E$6:$E$23,5,'Matriz de Riesgos'!$F$6:$F$23,1)</x:f>
        <x:v>0</x:v>
      </x:c>
    </x:row>
    <x:row r="16">
      <x:c r="A16" s="91" t="str">
        <x:v>MAPA 5x5 — RIESGO RESIDUAL (Después de mitigación)</x:v>
      </x:c>
      <x:c r="B16" s="91"/>
      <x:c r="C16" s="91"/>
      <x:c r="D16" s="91"/>
      <x:c r="E16" s="91"/>
      <x:c r="F16" s="91"/>
    </x:row>
    <x:row r="17">
      <x:c r="A17" s="97" t="str">
        <x:v>Impacto \ Probabilidad</x:v>
      </x:c>
      <x:c r="B17" s="97" t="n">
        <x:v>1</x:v>
      </x:c>
      <x:c r="C17" s="97" t="n">
        <x:v>2</x:v>
      </x:c>
      <x:c r="D17" s="97" t="n">
        <x:v>3</x:v>
      </x:c>
      <x:c r="E17" s="97" t="n">
        <x:v>4</x:v>
      </x:c>
      <x:c r="F17" s="97" t="n">
        <x:v>5</x:v>
      </x:c>
    </x:row>
    <x:row r="18">
      <x:c r="A18" s="74" t="n">
        <x:v>5</x:v>
      </x:c>
      <x:c r="B18" s="75" t="n">
        <x:f>COUNTIFS('Matriz de Riesgos'!$N$6:$N$23,1,'Matriz de Riesgos'!$O$6:$O$23,5)</x:f>
        <x:v>1</x:v>
      </x:c>
      <x:c r="C18" s="76" t="n">
        <x:f>COUNTIFS('Matriz de Riesgos'!$N$6:$N$23,2,'Matriz de Riesgos'!$O$6:$O$23,5)</x:f>
        <x:v>0</x:v>
      </x:c>
      <x:c r="D18" s="76" t="n">
        <x:f>COUNTIFS('Matriz de Riesgos'!$N$6:$N$23,3,'Matriz de Riesgos'!$O$6:$O$23,5)</x:f>
        <x:v>0</x:v>
      </x:c>
      <x:c r="E18" s="77" t="n">
        <x:f>COUNTIFS('Matriz de Riesgos'!$N$6:$N$23,4,'Matriz de Riesgos'!$O$6:$O$23,5)</x:f>
        <x:v>0</x:v>
      </x:c>
      <x:c r="F18" s="77" t="n">
        <x:f>COUNTIFS('Matriz de Riesgos'!$N$6:$N$23,5,'Matriz de Riesgos'!$O$6:$O$23,5)</x:f>
        <x:v>0</x:v>
      </x:c>
    </x:row>
    <x:row r="19">
      <x:c r="A19" s="74" t="n">
        <x:v>4</x:v>
      </x:c>
      <x:c r="B19" s="78" t="n">
        <x:f>COUNTIFS('Matriz de Riesgos'!$N$6:$N$23,1,'Matriz de Riesgos'!$O$6:$O$23,4)</x:f>
        <x:v>2</x:v>
      </x:c>
      <x:c r="C19" s="75" t="n">
        <x:f>COUNTIFS('Matriz de Riesgos'!$N$6:$N$23,2,'Matriz de Riesgos'!$O$6:$O$23,4)</x:f>
        <x:v>2</x:v>
      </x:c>
      <x:c r="D19" s="76" t="n">
        <x:f>COUNTIFS('Matriz de Riesgos'!$N$6:$N$23,3,'Matriz de Riesgos'!$O$6:$O$23,4)</x:f>
        <x:v>0</x:v>
      </x:c>
      <x:c r="E19" s="76" t="n">
        <x:f>COUNTIFS('Matriz de Riesgos'!$N$6:$N$23,4,'Matriz de Riesgos'!$O$6:$O$23,4)</x:f>
        <x:v>0</x:v>
      </x:c>
      <x:c r="F19" s="77" t="n">
        <x:f>COUNTIFS('Matriz de Riesgos'!$N$6:$N$23,5,'Matriz de Riesgos'!$O$6:$O$23,4)</x:f>
        <x:v>0</x:v>
      </x:c>
    </x:row>
    <x:row r="20">
      <x:c r="A20" s="74" t="n">
        <x:v>3</x:v>
      </x:c>
      <x:c r="B20" s="78" t="n">
        <x:f>COUNTIFS('Matriz de Riesgos'!$N$6:$N$23,1,'Matriz de Riesgos'!$O$6:$O$23,3)</x:f>
        <x:v>1</x:v>
      </x:c>
      <x:c r="C20" s="75" t="n">
        <x:f>COUNTIFS('Matriz de Riesgos'!$N$6:$N$23,2,'Matriz de Riesgos'!$O$6:$O$23,3)</x:f>
        <x:v>5</x:v>
      </x:c>
      <x:c r="D20" s="75" t="n">
        <x:f>COUNTIFS('Matriz de Riesgos'!$N$6:$N$23,3,'Matriz de Riesgos'!$O$6:$O$23,3)</x:f>
        <x:v>0</x:v>
      </x:c>
      <x:c r="E20" s="76" t="n">
        <x:f>COUNTIFS('Matriz de Riesgos'!$N$6:$N$23,4,'Matriz de Riesgos'!$O$6:$O$23,3)</x:f>
        <x:v>0</x:v>
      </x:c>
      <x:c r="F20" s="76" t="n">
        <x:f>COUNTIFS('Matriz de Riesgos'!$N$6:$N$23,5,'Matriz de Riesgos'!$O$6:$O$23,3)</x:f>
        <x:v>0</x:v>
      </x:c>
    </x:row>
    <x:row r="21">
      <x:c r="A21" s="74" t="n">
        <x:v>2</x:v>
      </x:c>
      <x:c r="B21" s="78" t="n">
        <x:f>COUNTIFS('Matriz de Riesgos'!$N$6:$N$23,1,'Matriz de Riesgos'!$O$6:$O$23,2)</x:f>
        <x:v>1</x:v>
      </x:c>
      <x:c r="C21" s="78" t="n">
        <x:f>COUNTIFS('Matriz de Riesgos'!$N$6:$N$23,2,'Matriz de Riesgos'!$O$6:$O$23,2)</x:f>
        <x:v>6</x:v>
      </x:c>
      <x:c r="D21" s="75" t="n">
        <x:f>COUNTIFS('Matriz de Riesgos'!$N$6:$N$23,3,'Matriz de Riesgos'!$O$6:$O$23,2)</x:f>
        <x:v>0</x:v>
      </x:c>
      <x:c r="E21" s="75" t="n">
        <x:f>COUNTIFS('Matriz de Riesgos'!$N$6:$N$23,4,'Matriz de Riesgos'!$O$6:$O$23,2)</x:f>
        <x:v>0</x:v>
      </x:c>
      <x:c r="F21" s="76" t="n">
        <x:f>COUNTIFS('Matriz de Riesgos'!$N$6:$N$23,5,'Matriz de Riesgos'!$O$6:$O$23,2)</x:f>
        <x:v>0</x:v>
      </x:c>
    </x:row>
    <x:row r="22">
      <x:c r="A22" s="74" t="n">
        <x:v>1</x:v>
      </x:c>
      <x:c r="B22" s="78" t="n">
        <x:f>COUNTIFS('Matriz de Riesgos'!$N$6:$N$23,1,'Matriz de Riesgos'!$O$6:$O$23,1)</x:f>
        <x:v>0</x:v>
      </x:c>
      <x:c r="C22" s="78" t="n">
        <x:f>COUNTIFS('Matriz de Riesgos'!$N$6:$N$23,2,'Matriz de Riesgos'!$O$6:$O$23,1)</x:f>
        <x:v>0</x:v>
      </x:c>
      <x:c r="D22" s="78" t="n">
        <x:f>COUNTIFS('Matriz de Riesgos'!$N$6:$N$23,3,'Matriz de Riesgos'!$O$6:$O$23,1)</x:f>
        <x:v>0</x:v>
      </x:c>
      <x:c r="E22" s="78" t="n">
        <x:f>COUNTIFS('Matriz de Riesgos'!$N$6:$N$23,4,'Matriz de Riesgos'!$O$6:$O$23,1)</x:f>
        <x:v>0</x:v>
      </x:c>
      <x:c r="F22" s="75" t="n">
        <x:f>COUNTIFS('Matriz de Riesgos'!$N$6:$N$23,5,'Matriz de Riesgos'!$O$6:$O$23,1)</x:f>
        <x:v>0</x:v>
      </x:c>
    </x:row>
  </x:sheetData>
  <x:mergeCells>
    <x:mergeCell ref="A1:N1"/>
    <x:mergeCell ref="A7:F7"/>
    <x:mergeCell ref="A16:F16"/>
  </x:mergeCells>
  <x:pageMargins left="0.7" right="0.7" top="0.75" bottom="0.75" header="0.3" footer="0.3"/>
  <x:drawing xmlns:r="http://schemas.openxmlformats.org/officeDocument/2006/relationships" r:id="R15fb4edae4b24ed8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0" hidden="0" customWidth="1"/>
    <x:col min="5" max="5" width="14" hidden="0" customWidth="1"/>
    <x:col min="6" max="6" width="14" hidden="0" customWidth="1"/>
  </x:cols>
  <x:sheetData>
    <x:row r="1">
      <x:c r="A1" s="41" t="str">
        <x:v>CRITERIOS DE EVALUACIÓN DE RIESGOS</x:v>
      </x:c>
      <x:c r="B1" s="41"/>
      <x:c r="C1" s="41"/>
      <x:c r="D1" s="41"/>
      <x:c r="E1" s="41"/>
      <x:c r="F1" s="41"/>
    </x:row>
    <x:row r="3">
      <x:c r="A3" s="53" t="str">
        <x:v>Valor</x:v>
      </x:c>
      <x:c r="B3" s="53" t="str">
        <x:v>Probabilidad</x:v>
      </x:c>
      <x:c r="C3" s="53" t="str">
        <x:v>Criterio orientativo</x:v>
      </x:c>
      <x:c r="E3" s="53" t="str">
        <x:v>Exposición</x:v>
      </x:c>
      <x:c r="F3" s="53" t="str">
        <x:v>Nivel</x:v>
      </x:c>
    </x:row>
    <x:row r="4" ht="15" hidden="0" customHeight="1">
      <x:c r="A4" s="102" t="n">
        <x:v>1</x:v>
      </x:c>
      <x:c r="B4" s="102" t="str">
        <x:v>Muy baja</x:v>
      </x:c>
      <x:c r="C4" s="102" t="str">
        <x:v>Es poco probable que ocurra durante el proyecto.</x:v>
      </x:c>
      <x:c r="E4" s="102" t="str">
        <x:v>1–4</x:v>
      </x:c>
      <x:c r="F4" s="102" t="str">
        <x:v>Bajo</x:v>
      </x:c>
    </x:row>
    <x:row r="5" ht="15" hidden="0" customHeight="1">
      <x:c r="A5" s="102" t="n">
        <x:v>2</x:v>
      </x:c>
      <x:c r="B5" s="102" t="str">
        <x:v>Baja</x:v>
      </x:c>
      <x:c r="C5" s="102" t="str">
        <x:v>Puede ocurrir, pero existen pocos indicios o antecedentes.</x:v>
      </x:c>
      <x:c r="E5" s="102" t="str">
        <x:v>5–9</x:v>
      </x:c>
      <x:c r="F5" s="102" t="str">
        <x:v>Medio</x:v>
      </x:c>
    </x:row>
    <x:row r="6" ht="15" hidden="0" customHeight="1">
      <x:c r="A6" s="102" t="n">
        <x:v>3</x:v>
      </x:c>
      <x:c r="B6" s="102" t="str">
        <x:v>Media</x:v>
      </x:c>
      <x:c r="C6" s="102" t="str">
        <x:v>Existe una posibilidad razonable de ocurrencia.</x:v>
      </x:c>
      <x:c r="E6" s="102" t="str">
        <x:v>10–16</x:v>
      </x:c>
      <x:c r="F6" s="102" t="str">
        <x:v>Alto</x:v>
      </x:c>
    </x:row>
    <x:row r="7" ht="15" hidden="0" customHeight="1">
      <x:c r="A7" s="102" t="n">
        <x:v>4</x:v>
      </x:c>
      <x:c r="B7" s="102" t="str">
        <x:v>Alta</x:v>
      </x:c>
      <x:c r="C7" s="102" t="str">
        <x:v>Es probable que ocurra si no se toman medidas.</x:v>
      </x:c>
      <x:c r="E7" s="102" t="str">
        <x:v>17–25</x:v>
      </x:c>
      <x:c r="F7" s="102" t="str">
        <x:v>Crítico</x:v>
      </x:c>
    </x:row>
    <x:row r="8" ht="15" hidden="0" customHeight="1">
      <x:c r="A8" s="102" t="n">
        <x:v>5</x:v>
      </x:c>
      <x:c r="B8" s="102" t="str">
        <x:v>Muy alta</x:v>
      </x:c>
      <x:c r="C8" s="102" t="str">
        <x:v>Se espera que ocurra o ya existen señales claras.</x:v>
      </x:c>
    </x:row>
    <x:row r="9"/>
    <x:row r="10" ht="15" hidden="0" customHeight="1">
      <x:c r="A10" s="53" t="str">
        <x:v>Valor</x:v>
      </x:c>
      <x:c r="B10" s="53" t="str">
        <x:v>Impacto</x:v>
      </x:c>
      <x:c r="C10" s="53" t="str">
        <x:v>Criterio orientativo</x:v>
      </x:c>
    </x:row>
    <x:row r="11" ht="15" hidden="0" customHeight="1">
      <x:c r="A11" s="102" t="n">
        <x:v>1</x:v>
      </x:c>
      <x:c r="B11" s="102" t="str">
        <x:v>Muy bajo</x:v>
      </x:c>
      <x:c r="C11" s="102" t="str">
        <x:v>Efecto menor; no compromete entregables ni funcionalidad.</x:v>
      </x:c>
    </x:row>
    <x:row r="12" ht="15" hidden="0" customHeight="1">
      <x:c r="A12" s="102" t="n">
        <x:v>2</x:v>
      </x:c>
      <x:c r="B12" s="102" t="str">
        <x:v>Bajo</x:v>
      </x:c>
      <x:c r="C12" s="102" t="str">
        <x:v>Ajuste manejable dentro del Sprint.</x:v>
      </x:c>
    </x:row>
    <x:row r="13" ht="15" hidden="0" customHeight="1">
      <x:c r="A13" s="102" t="n">
        <x:v>3</x:v>
      </x:c>
      <x:c r="B13" s="102" t="str">
        <x:v>Medio</x:v>
      </x:c>
      <x:c r="C13" s="102" t="str">
        <x:v>Afecta tareas, módulo o planificación, pero es recuperable.</x:v>
      </x:c>
    </x:row>
    <x:row r="14" ht="15" hidden="0" customHeight="1">
      <x:c r="A14" s="102" t="n">
        <x:v>4</x:v>
      </x:c>
      <x:c r="B14" s="102" t="str">
        <x:v>Alto</x:v>
      </x:c>
      <x:c r="C14" s="102" t="str">
        <x:v>Puede afectar hitos, calidad o varias funcionalidades.</x:v>
      </x:c>
    </x:row>
    <x:row r="15" ht="15" hidden="0" customHeight="1">
      <x:c r="A15" s="102" t="n">
        <x:v>5</x:v>
      </x:c>
      <x:c r="B15" s="102" t="str">
        <x:v>Muy alto</x:v>
      </x:c>
      <x:c r="C15" s="102" t="str">
        <x:v>Puede comprometer privacidad, seguridad, entrega o viabilidad del MVP.</x:v>
      </x:c>
    </x:row>
    <x:row r="16"/>
    <x:row r="17"/>
    <x:row r="18" ht="15" hidden="0" customHeight="1">
      <x:c r="A18" s="53" t="str">
        <x:v>Responsable</x:v>
      </x:c>
      <x:c r="B18" s="53" t="str">
        <x:v>Rol principal</x:v>
      </x:c>
      <x:c r="C18" s="53" t="str">
        <x:v>Enfoque</x:v>
      </x:c>
    </x:row>
    <x:row r="19" ht="26.399999618530273" hidden="0" customHeight="1">
      <x:c r="A19" s="101" t="str">
        <x:v>Ivan Tamayo</x:v>
      </x:c>
      <x:c r="B19" s="101" t="str">
        <x:v>Jefe de Proyecto / Scrum Master + Backend y BD</x:v>
      </x:c>
      <x:c r="C19" s="101" t="str">
        <x:v>Planificación, backend, datos, seguridad e integración.</x:v>
      </x:c>
    </x:row>
    <x:row r="20" ht="15" hidden="0" customHeight="1">
      <x:c r="A20" s="101" t="str">
        <x:v>Rodrigo Romero</x:v>
      </x:c>
      <x:c r="B20" s="101" t="str">
        <x:v>Frontend / UX-UI</x:v>
      </x:c>
      <x:c r="C20" s="101" t="str">
        <x:v>Interfaz, usabilidad, accesibilidad y experiencia de usuario.</x:v>
      </x:c>
    </x:row>
    <x:row r="21" ht="15" hidden="0" customHeight="1">
      <x:c r="A21" s="101" t="str">
        <x:v>Richard Diaz</x:v>
      </x:c>
      <x:c r="B21" s="101" t="str">
        <x:v>Backend / QA y Pruebas</x:v>
      </x:c>
      <x:c r="C21" s="101" t="str">
        <x:v>Pruebas, defectos, validaciones, regresión y apoyo backend.</x:v>
      </x:c>
    </x:row>
    <x:row r="22" ht="26.399999618530273" hidden="0" customHeight="1">
      <x:c r="A22" s="101" t="str">
        <x:v>Equipo</x:v>
      </x:c>
      <x:c r="B22" s="101" t="str">
        <x:v>Responsabilidad compartida</x:v>
      </x:c>
      <x:c r="C22" s="101" t="str">
        <x:v>Riesgos transversales y coordinación general.</x:v>
      </x:c>
    </x:row>
  </x:sheetData>
  <x:mergeCells>
    <x:mergeCell ref="A1:F1"/>
  </x:mergeCells>
  <x:pageMargins left="0.7" right="0.7" top="0.75" bottom="0.75" header="0.3" footer="0.3"/>
</x:worksheet>
</file>