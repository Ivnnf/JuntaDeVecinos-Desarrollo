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5b3112a1a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daa9a97ad67e47e4"/>
    <x:sheet xmlns:r="http://schemas.openxmlformats.org/officeDocument/2006/relationships" name="Sprint 2" sheetId="2" r:id="R01a93631a23a4709"/>
    <x:sheet xmlns:r="http://schemas.openxmlformats.org/officeDocument/2006/relationships" name="Sprint 3" sheetId="3" r:id="R6f8ef2c4f2a14277"/>
    <x:sheet xmlns:r="http://schemas.openxmlformats.org/officeDocument/2006/relationships" name="Sprint 4" sheetId="4" r:id="Re4c4e3e14c254a3f"/>
    <x:sheet xmlns:r="http://schemas.openxmlformats.org/officeDocument/2006/relationships" name="Sprint 5" sheetId="5" r:id="R658d68c6f13a4c2a"/>
    <x:sheet xmlns:r="http://schemas.openxmlformats.org/officeDocument/2006/relationships" name="Instructivo" sheetId="6" r:id="R9b44c4cd91dc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name val="Carlito"/>
    </x:font>
    <x:font>
      <x:b/>
      <x:sz val="11"/>
      <x:name val="Carlito"/>
    </x:font>
    <x:font>
      <x:b/>
      <x:sz val="9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3F3"/>
      </x:patternFill>
    </x:fill>
    <x:fill>
      <x:patternFill patternType="solid">
        <x:fgColor rgb="FFB7B7B7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0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9f21c3c29424e" /><Relationship Type="http://schemas.openxmlformats.org/officeDocument/2006/relationships/theme" Target="/xl/theme/theme1.xml" Id="R80bfd20a59f14e3f" /><Relationship Type="http://schemas.openxmlformats.org/officeDocument/2006/relationships/sharedStrings" Target="/xl/sharedStrings.xml" Id="Ra0807c2cdbfd4341" /><Relationship Type="http://schemas.openxmlformats.org/officeDocument/2006/relationships/worksheet" Target="/xl/worksheets/sheet1.xml" Id="Rdaa9a97ad67e47e4" /><Relationship Type="http://schemas.openxmlformats.org/officeDocument/2006/relationships/worksheet" Target="/xl/worksheets/sheet2.xml" Id="R01a93631a23a4709" /><Relationship Type="http://schemas.openxmlformats.org/officeDocument/2006/relationships/worksheet" Target="/xl/worksheets/sheet3.xml" Id="R6f8ef2c4f2a14277" /><Relationship Type="http://schemas.openxmlformats.org/officeDocument/2006/relationships/worksheet" Target="/xl/worksheets/sheet4.xml" Id="Re4c4e3e14c254a3f" /><Relationship Type="http://schemas.openxmlformats.org/officeDocument/2006/relationships/worksheet" Target="/xl/worksheets/sheet5.xml" Id="R658d68c6f13a4c2a" /><Relationship Type="http://schemas.openxmlformats.org/officeDocument/2006/relationships/worksheet" Target="/xl/worksheets/sheet6.xml" Id="R9b44c4cd91dc40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1 | Semanas 5–6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4</x:v>
      </x:c>
      <x:c r="C3" s="17" t="str">
        <x:v>Story Points: 26</x:v>
      </x:c>
      <x:c r="D3" s="17" t="str">
        <x:v>Tareas: 22</x:v>
      </x:c>
      <x:c r="E3" s="17" t="str">
        <x:v>Horas estimadas: 104</x:v>
      </x:c>
      <x:c r="F3" s="17" t="str">
        <x:v>Estado: Por iniciar</x:v>
      </x:c>
      <x:c r="G3" s="17" t="str">
        <x:v>Asignación inicial por rol</x:v>
      </x:c>
    </x:row>
    <x:row r="4" ht="28" customHeight="1"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Product Backlog</x:v>
      </x:c>
      <x:c r="C5" s="34" t="str">
        <x:v>Enunciado del Product Backlog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43.20000076293945" hidden="0" customHeight="1">
      <x:c r="B6" s="63" t="str">
        <x:v>HU-01</x:v>
      </x:c>
      <x:c r="C6" s="63" t="str">
        <x:v>Como usuario registrado, quiero iniciar sesión, recuperar el acceso a mi cuenta cuando sea necesario y cerrar mi sesión de forma segura, para utilizar las funcionalidades correspondientes a mi rol y proteger mi cuenta.</x:v>
      </x:c>
      <x:c r="D6" s="64" t="str">
        <x:v>Definir flujo de autenticación, recuperación y permisos por rol</x:v>
      </x:c>
      <x:c r="E6" s="65" t="str">
        <x:v>Ivan Tamayo</x:v>
      </x:c>
      <x:c r="F6" s="65" t="str">
        <x:v>Por iniciar</x:v>
      </x:c>
      <x:c r="G6" s="65" t="n">
        <x:v>4</x:v>
      </x:c>
      <x:c r="H6" s="65" t="n">
        <x:v>0</x:v>
      </x:c>
      <x:c r="I6" s="65" t="n">
        <x:f>G6-H6</x:f>
        <x:v>4</x:v>
      </x:c>
      <x:c r="J6" s="65" t="n">
        <x:v>0</x:v>
      </x:c>
      <x:c r="K6" s="65" t="n">
        <x:f>I6-J6</x:f>
        <x:v>4</x:v>
      </x:c>
      <x:c r="L6" s="65" t="n">
        <x:v>0</x:v>
      </x:c>
      <x:c r="M6" s="65" t="n">
        <x:f>K6-L6</x:f>
        <x:v>4</x:v>
      </x:c>
      <x:c r="N6" s="65" t="n">
        <x:v>0</x:v>
      </x:c>
      <x:c r="O6" s="65" t="n">
        <x:f>M6-N6</x:f>
        <x:v>4</x:v>
      </x:c>
      <x:c r="P6" s="65" t="n">
        <x:v>0</x:v>
      </x:c>
      <x:c r="Q6" s="65" t="n">
        <x:f>O6-P6</x:f>
        <x:v>4</x:v>
      </x:c>
      <x:c r="R6" s="65" t="n">
        <x:v>0</x:v>
      </x:c>
      <x:c r="S6" s="65" t="n">
        <x:f>Q6-R6</x:f>
        <x:v>4</x:v>
      </x:c>
      <x:c r="T6" s="65" t="n">
        <x:v>0</x:v>
      </x:c>
      <x:c r="U6" s="65" t="n">
        <x:f>S6-T6</x:f>
        <x:v>4</x:v>
      </x:c>
      <x:c r="V6" s="65" t="n">
        <x:v>0</x:v>
      </x:c>
      <x:c r="W6" s="65" t="n">
        <x:f>U6-V6</x:f>
        <x:v>4</x:v>
      </x:c>
      <x:c r="X6" s="65" t="n">
        <x:v>0</x:v>
      </x:c>
      <x:c r="Y6" s="65" t="n">
        <x:f>W6-X6</x:f>
        <x:v>4</x:v>
      </x:c>
      <x:c r="Z6" s="65" t="n">
        <x:v>0</x:v>
      </x:c>
      <x:c r="AA6" s="65" t="n">
        <x:f>Y6-Z6</x:f>
        <x:v>4</x:v>
      </x:c>
      <x:c r="AB6" s="65" t="n">
        <x:f>SUM(H6,J6,L6,N6,P6,R6,T6,V6,X6,Z6)</x:f>
        <x:v>0</x:v>
      </x:c>
      <x:c r="AC6" s="65" t="n">
        <x:f>AA6</x:f>
        <x:v>4</x:v>
      </x:c>
    </x:row>
    <x:row r="7" ht="21.600000381469727" hidden="0" customHeight="1">
      <x:c r="B7" s="64" t="str"/>
      <x:c r="C7" s="64" t="str"/>
      <x:c r="D7" s="64" t="str">
        <x:v>Configurar autenticación, sesiones y recuperación de contraseña en Django</x:v>
      </x:c>
      <x:c r="E7" s="65" t="str">
        <x:v>Ivan Tamayo</x:v>
      </x:c>
      <x:c r="F7" s="65" t="str">
        <x:v>Por iniciar</x:v>
      </x:c>
      <x:c r="G7" s="65" t="n">
        <x:v>8</x:v>
      </x:c>
      <x:c r="H7" s="65" t="n">
        <x:v>0</x:v>
      </x:c>
      <x:c r="I7" s="65" t="n">
        <x:f>G7-H7</x:f>
        <x:v>8</x:v>
      </x:c>
      <x:c r="J7" s="65" t="n">
        <x:v>0</x:v>
      </x:c>
      <x:c r="K7" s="65" t="n">
        <x:f>I7-J7</x:f>
        <x:v>8</x:v>
      </x:c>
      <x:c r="L7" s="65" t="n">
        <x:v>0</x:v>
      </x:c>
      <x:c r="M7" s="65" t="n">
        <x:f>K7-L7</x:f>
        <x:v>8</x:v>
      </x:c>
      <x:c r="N7" s="65" t="n">
        <x:v>0</x:v>
      </x:c>
      <x:c r="O7" s="65" t="n">
        <x:f>M7-N7</x:f>
        <x:v>8</x:v>
      </x:c>
      <x:c r="P7" s="65" t="n">
        <x:v>0</x:v>
      </x:c>
      <x:c r="Q7" s="65" t="n">
        <x:f>O7-P7</x:f>
        <x:v>8</x:v>
      </x:c>
      <x:c r="R7" s="65" t="n">
        <x:v>0</x:v>
      </x:c>
      <x:c r="S7" s="65" t="n">
        <x:f>Q7-R7</x:f>
        <x:v>8</x:v>
      </x:c>
      <x:c r="T7" s="65" t="n">
        <x:v>0</x:v>
      </x:c>
      <x:c r="U7" s="65" t="n">
        <x:f>S7-T7</x:f>
        <x:v>8</x:v>
      </x:c>
      <x:c r="V7" s="65" t="n">
        <x:v>0</x:v>
      </x:c>
      <x:c r="W7" s="65" t="n">
        <x:f>U7-V7</x:f>
        <x:v>8</x:v>
      </x:c>
      <x:c r="X7" s="65" t="n">
        <x:v>0</x:v>
      </x:c>
      <x:c r="Y7" s="65" t="n">
        <x:f>W7-X7</x:f>
        <x:v>8</x:v>
      </x:c>
      <x:c r="Z7" s="65" t="n">
        <x:v>0</x:v>
      </x:c>
      <x:c r="AA7" s="65" t="n">
        <x:f>Y7-Z7</x:f>
        <x:v>8</x:v>
      </x:c>
      <x:c r="AB7" s="65" t="n">
        <x:f>SUM(H7,J7,L7,N7,P7,R7,T7,V7,X7,Z7)</x:f>
        <x:v>0</x:v>
      </x:c>
      <x:c r="AC7" s="65" t="n">
        <x:f>AA7</x:f>
        <x:v>8</x:v>
      </x:c>
    </x:row>
    <x:row r="8" ht="21.600000381469727" hidden="0" customHeight="1">
      <x:c r="B8" s="64" t="str"/>
      <x:c r="C8" s="64" t="str"/>
      <x:c r="D8" s="64" t="str">
        <x:v>Implementar endpoints de login, logout y recuperación de acceso</x:v>
      </x:c>
      <x:c r="E8" s="65" t="str">
        <x:v>Ivan Tamayo</x:v>
      </x:c>
      <x:c r="F8" s="65" t="str">
        <x:v>Por iniciar</x:v>
      </x:c>
      <x:c r="G8" s="65" t="n">
        <x:v>6</x:v>
      </x:c>
      <x:c r="H8" s="65" t="n">
        <x:v>0</x:v>
      </x:c>
      <x:c r="I8" s="65" t="n">
        <x:f>G8-H8</x:f>
        <x:v>6</x:v>
      </x:c>
      <x:c r="J8" s="65" t="n">
        <x:v>0</x:v>
      </x:c>
      <x:c r="K8" s="65" t="n">
        <x:f>I8-J8</x:f>
        <x:v>6</x:v>
      </x:c>
      <x:c r="L8" s="65" t="n">
        <x:v>0</x:v>
      </x:c>
      <x:c r="M8" s="65" t="n">
        <x:f>K8-L8</x:f>
        <x:v>6</x:v>
      </x:c>
      <x:c r="N8" s="65" t="n">
        <x:v>0</x:v>
      </x:c>
      <x:c r="O8" s="65" t="n">
        <x:f>M8-N8</x:f>
        <x:v>6</x:v>
      </x:c>
      <x:c r="P8" s="65" t="n">
        <x:v>0</x:v>
      </x:c>
      <x:c r="Q8" s="65" t="n">
        <x:f>O8-P8</x:f>
        <x:v>6</x:v>
      </x:c>
      <x:c r="R8" s="65" t="n">
        <x:v>0</x:v>
      </x:c>
      <x:c r="S8" s="65" t="n">
        <x:f>Q8-R8</x:f>
        <x:v>6</x:v>
      </x:c>
      <x:c r="T8" s="65" t="n">
        <x:v>0</x:v>
      </x:c>
      <x:c r="U8" s="65" t="n">
        <x:f>S8-T8</x:f>
        <x:v>6</x:v>
      </x:c>
      <x:c r="V8" s="65" t="n">
        <x:v>0</x:v>
      </x:c>
      <x:c r="W8" s="65" t="n">
        <x:f>U8-V8</x:f>
        <x:v>6</x:v>
      </x:c>
      <x:c r="X8" s="65" t="n">
        <x:v>0</x:v>
      </x:c>
      <x:c r="Y8" s="65" t="n">
        <x:f>W8-X8</x:f>
        <x:v>6</x:v>
      </x:c>
      <x:c r="Z8" s="65" t="n">
        <x:v>0</x:v>
      </x:c>
      <x:c r="AA8" s="65" t="n">
        <x:f>Y8-Z8</x:f>
        <x:v>6</x:v>
      </x:c>
      <x:c r="AB8" s="65" t="n">
        <x:f>SUM(H8,J8,L8,N8,P8,R8,T8,V8,X8,Z8)</x:f>
        <x:v>0</x:v>
      </x:c>
      <x:c r="AC8" s="65" t="n">
        <x:f>AA8</x:f>
        <x:v>6</x:v>
      </x:c>
    </x:row>
    <x:row r="9" ht="15" hidden="0" customHeight="1">
      <x:c r="B9" s="64" t="str"/>
      <x:c r="C9" s="64" t="str"/>
      <x:c r="D9" s="64" t="str">
        <x:v>Diseñar e implementar vistas React de login y recuperación</x:v>
      </x:c>
      <x:c r="E9" s="65" t="str">
        <x:v>Rodrigo Romero</x:v>
      </x:c>
      <x:c r="F9" s="65" t="str">
        <x:v>Por iniciar</x:v>
      </x:c>
      <x:c r="G9" s="65" t="n">
        <x:v>6</x:v>
      </x:c>
      <x:c r="H9" s="65" t="n">
        <x:v>0</x:v>
      </x:c>
      <x:c r="I9" s="65" t="n">
        <x:f>G9-H9</x:f>
        <x:v>6</x:v>
      </x:c>
      <x:c r="J9" s="65" t="n">
        <x:v>0</x:v>
      </x:c>
      <x:c r="K9" s="65" t="n">
        <x:f>I9-J9</x:f>
        <x:v>6</x:v>
      </x:c>
      <x:c r="L9" s="65" t="n">
        <x:v>0</x:v>
      </x:c>
      <x:c r="M9" s="65" t="n">
        <x:f>K9-L9</x:f>
        <x:v>6</x:v>
      </x:c>
      <x:c r="N9" s="65" t="n">
        <x:v>0</x:v>
      </x:c>
      <x:c r="O9" s="65" t="n">
        <x:f>M9-N9</x:f>
        <x:v>6</x:v>
      </x:c>
      <x:c r="P9" s="65" t="n">
        <x:v>0</x:v>
      </x:c>
      <x:c r="Q9" s="65" t="n">
        <x:f>O9-P9</x:f>
        <x:v>6</x:v>
      </x:c>
      <x:c r="R9" s="65" t="n">
        <x:v>0</x:v>
      </x:c>
      <x:c r="S9" s="65" t="n">
        <x:f>Q9-R9</x:f>
        <x:v>6</x:v>
      </x:c>
      <x:c r="T9" s="65" t="n">
        <x:v>0</x:v>
      </x:c>
      <x:c r="U9" s="65" t="n">
        <x:f>S9-T9</x:f>
        <x:v>6</x:v>
      </x:c>
      <x:c r="V9" s="65" t="n">
        <x:v>0</x:v>
      </x:c>
      <x:c r="W9" s="65" t="n">
        <x:f>U9-V9</x:f>
        <x:v>6</x:v>
      </x:c>
      <x:c r="X9" s="65" t="n">
        <x:v>0</x:v>
      </x:c>
      <x:c r="Y9" s="65" t="n">
        <x:f>W9-X9</x:f>
        <x:v>6</x:v>
      </x:c>
      <x:c r="Z9" s="65" t="n">
        <x:v>0</x:v>
      </x:c>
      <x:c r="AA9" s="65" t="n">
        <x:f>Y9-Z9</x:f>
        <x:v>6</x:v>
      </x:c>
      <x:c r="AB9" s="65" t="n">
        <x:f>SUM(H9,J9,L9,N9,P9,R9,T9,V9,X9,Z9)</x:f>
        <x:v>0</x:v>
      </x:c>
      <x:c r="AC9" s="65" t="n">
        <x:f>AA9</x:f>
        <x:v>6</x:v>
      </x:c>
    </x:row>
    <x:row r="10" ht="15" hidden="0" customHeight="1">
      <x:c r="B10" s="64" t="str"/>
      <x:c r="C10" s="64" t="str"/>
      <x:c r="D10" s="64" t="str">
        <x:v>Integrar frontend con autenticación y redirección según rol</x:v>
      </x:c>
      <x:c r="E10" s="65" t="str">
        <x:v>Rodrigo Romero</x:v>
      </x:c>
      <x:c r="F10" s="65" t="str">
        <x:v>Por iniciar</x:v>
      </x:c>
      <x:c r="G10" s="65" t="n">
        <x:v>4</x:v>
      </x:c>
      <x:c r="H10" s="65" t="n">
        <x:v>0</x:v>
      </x:c>
      <x:c r="I10" s="65" t="n">
        <x:f>G10-H10</x:f>
        <x:v>4</x:v>
      </x:c>
      <x:c r="J10" s="65" t="n">
        <x:v>0</x:v>
      </x:c>
      <x:c r="K10" s="65" t="n">
        <x:f>I10-J10</x:f>
        <x:v>4</x:v>
      </x:c>
      <x:c r="L10" s="65" t="n">
        <x:v>0</x:v>
      </x:c>
      <x:c r="M10" s="65" t="n">
        <x:f>K10-L10</x:f>
        <x:v>4</x:v>
      </x:c>
      <x:c r="N10" s="65" t="n">
        <x:v>0</x:v>
      </x:c>
      <x:c r="O10" s="65" t="n">
        <x:f>M10-N10</x:f>
        <x:v>4</x:v>
      </x:c>
      <x:c r="P10" s="65" t="n">
        <x:v>0</x:v>
      </x:c>
      <x:c r="Q10" s="65" t="n">
        <x:f>O10-P10</x:f>
        <x:v>4</x:v>
      </x:c>
      <x:c r="R10" s="65" t="n">
        <x:v>0</x:v>
      </x:c>
      <x:c r="S10" s="65" t="n">
        <x:f>Q10-R10</x:f>
        <x:v>4</x:v>
      </x:c>
      <x:c r="T10" s="65" t="n">
        <x:v>0</x:v>
      </x:c>
      <x:c r="U10" s="65" t="n">
        <x:f>S10-T10</x:f>
        <x:v>4</x:v>
      </x:c>
      <x:c r="V10" s="65" t="n">
        <x:v>0</x:v>
      </x:c>
      <x:c r="W10" s="65" t="n">
        <x:f>U10-V10</x:f>
        <x:v>4</x:v>
      </x:c>
      <x:c r="X10" s="65" t="n">
        <x:v>0</x:v>
      </x:c>
      <x:c r="Y10" s="65" t="n">
        <x:f>W10-X10</x:f>
        <x:v>4</x:v>
      </x:c>
      <x:c r="Z10" s="65" t="n">
        <x:v>0</x:v>
      </x:c>
      <x:c r="AA10" s="65" t="n">
        <x:f>Y10-Z10</x:f>
        <x:v>4</x:v>
      </x:c>
      <x:c r="AB10" s="65" t="n">
        <x:f>SUM(H10,J10,L10,N10,P10,R10,T10,V10,X10,Z10)</x:f>
        <x:v>0</x:v>
      </x:c>
      <x:c r="AC10" s="65" t="n">
        <x:f>AA10</x:f>
        <x:v>4</x:v>
      </x:c>
    </x:row>
    <x:row r="11" ht="15" hidden="0" customHeight="1">
      <x:c r="B11" s="64" t="str"/>
      <x:c r="C11" s="64" t="str"/>
      <x:c r="D11" s="64" t="str">
        <x:v>Ejecutar pruebas funcionales y de seguridad del acceso</x:v>
      </x:c>
      <x:c r="E11" s="65" t="str">
        <x:v>Richard Diaz</x:v>
      </x:c>
      <x:c r="F11" s="65" t="str">
        <x:v>Por iniciar</x:v>
      </x:c>
      <x:c r="G11" s="65" t="n">
        <x:v>4</x:v>
      </x:c>
      <x:c r="H11" s="65" t="n">
        <x:v>0</x:v>
      </x:c>
      <x:c r="I11" s="65" t="n">
        <x:f>G11-H11</x:f>
        <x:v>4</x:v>
      </x:c>
      <x:c r="J11" s="65" t="n">
        <x:v>0</x:v>
      </x:c>
      <x:c r="K11" s="65" t="n">
        <x:f>I11-J11</x:f>
        <x:v>4</x:v>
      </x:c>
      <x:c r="L11" s="65" t="n">
        <x:v>0</x:v>
      </x:c>
      <x:c r="M11" s="65" t="n">
        <x:f>K11-L11</x:f>
        <x:v>4</x:v>
      </x:c>
      <x:c r="N11" s="65" t="n">
        <x:v>0</x:v>
      </x:c>
      <x:c r="O11" s="65" t="n">
        <x:f>M11-N11</x:f>
        <x:v>4</x:v>
      </x:c>
      <x:c r="P11" s="65" t="n">
        <x:v>0</x:v>
      </x:c>
      <x:c r="Q11" s="65" t="n">
        <x:f>O11-P11</x:f>
        <x:v>4</x:v>
      </x:c>
      <x:c r="R11" s="65" t="n">
        <x:v>0</x:v>
      </x:c>
      <x:c r="S11" s="65" t="n">
        <x:f>Q11-R11</x:f>
        <x:v>4</x:v>
      </x:c>
      <x:c r="T11" s="65" t="n">
        <x:v>0</x:v>
      </x:c>
      <x:c r="U11" s="65" t="n">
        <x:f>S11-T11</x:f>
        <x:v>4</x:v>
      </x:c>
      <x:c r="V11" s="65" t="n">
        <x:v>0</x:v>
      </x:c>
      <x:c r="W11" s="65" t="n">
        <x:f>U11-V11</x:f>
        <x:v>4</x:v>
      </x:c>
      <x:c r="X11" s="65" t="n">
        <x:v>0</x:v>
      </x:c>
      <x:c r="Y11" s="65" t="n">
        <x:f>W11-X11</x:f>
        <x:v>4</x:v>
      </x:c>
      <x:c r="Z11" s="65" t="n">
        <x:v>0</x:v>
      </x:c>
      <x:c r="AA11" s="65" t="n">
        <x:f>Y11-Z11</x:f>
        <x:v>4</x:v>
      </x:c>
      <x:c r="AB11" s="65" t="n">
        <x:f>SUM(H11,J11,L11,N11,P11,R11,T11,V11,X11,Z11)</x:f>
        <x:v>0</x:v>
      </x:c>
      <x:c r="AC11" s="65" t="n">
        <x:f>AA11</x:f>
        <x:v>4</x:v>
      </x:c>
    </x:row>
    <x:row r="12" ht="32.400001525878906" hidden="0" customHeight="1">
      <x:c r="B12" s="63" t="str">
        <x:v>HU-02</x:v>
      </x:c>
      <x:c r="C12" s="63" t="str">
        <x:v>Como residente, quiero registrarme en la plataforma ingresando mis datos básicos, para disponer de una cuenta y participar en las funcionalidades habilitadas para vecinos.</x:v>
      </x:c>
      <x:c r="D12" s="64" t="str">
        <x:v>Definir datos obligatorios y reglas de validación del registro</x:v>
      </x:c>
      <x:c r="E12" s="65" t="str">
        <x:v>Ivan Tamayo</x:v>
      </x:c>
      <x:c r="F12" s="65" t="str">
        <x:v>Por iniciar</x:v>
      </x:c>
      <x:c r="G12" s="65" t="n">
        <x:v>3</x:v>
      </x:c>
      <x:c r="H12" s="65" t="n">
        <x:v>0</x:v>
      </x:c>
      <x:c r="I12" s="65" t="n">
        <x:f>G12-H12</x:f>
        <x:v>3</x:v>
      </x:c>
      <x:c r="J12" s="65" t="n">
        <x:v>0</x:v>
      </x:c>
      <x:c r="K12" s="65" t="n">
        <x:f>I12-J12</x:f>
        <x:v>3</x:v>
      </x:c>
      <x:c r="L12" s="65" t="n">
        <x:v>0</x:v>
      </x:c>
      <x:c r="M12" s="65" t="n">
        <x:f>K12-L12</x:f>
        <x:v>3</x:v>
      </x:c>
      <x:c r="N12" s="65" t="n">
        <x:v>0</x:v>
      </x:c>
      <x:c r="O12" s="65" t="n">
        <x:f>M12-N12</x:f>
        <x:v>3</x:v>
      </x:c>
      <x:c r="P12" s="65" t="n">
        <x:v>0</x:v>
      </x:c>
      <x:c r="Q12" s="65" t="n">
        <x:f>O12-P12</x:f>
        <x:v>3</x:v>
      </x:c>
      <x:c r="R12" s="65" t="n">
        <x:v>0</x:v>
      </x:c>
      <x:c r="S12" s="65" t="n">
        <x:f>Q12-R12</x:f>
        <x:v>3</x:v>
      </x:c>
      <x:c r="T12" s="65" t="n">
        <x:v>0</x:v>
      </x:c>
      <x:c r="U12" s="65" t="n">
        <x:f>S12-T12</x:f>
        <x:v>3</x:v>
      </x:c>
      <x:c r="V12" s="65" t="n">
        <x:v>0</x:v>
      </x:c>
      <x:c r="W12" s="65" t="n">
        <x:f>U12-V12</x:f>
        <x:v>3</x:v>
      </x:c>
      <x:c r="X12" s="65" t="n">
        <x:v>0</x:v>
      </x:c>
      <x:c r="Y12" s="65" t="n">
        <x:f>W12-X12</x:f>
        <x:v>3</x:v>
      </x:c>
      <x:c r="Z12" s="65" t="n">
        <x:v>0</x:v>
      </x:c>
      <x:c r="AA12" s="65" t="n">
        <x:f>Y12-Z12</x:f>
        <x:v>3</x:v>
      </x:c>
      <x:c r="AB12" s="65" t="n">
        <x:f>SUM(H12,J12,L12,N12,P12,R12,T12,V12,X12,Z12)</x:f>
        <x:v>0</x:v>
      </x:c>
      <x:c r="AC12" s="65" t="n">
        <x:f>AA12</x:f>
        <x:v>3</x:v>
      </x:c>
    </x:row>
    <x:row r="13" ht="21.600000381469727" hidden="0" customHeight="1">
      <x:c r="B13" s="64" t="str"/>
      <x:c r="C13" s="64" t="str"/>
      <x:c r="D13" s="64" t="str">
        <x:v>Implementar modelo, validaciones y endpoint de registro en Django</x:v>
      </x:c>
      <x:c r="E13" s="65" t="str">
        <x:v>Ivan Tamayo</x:v>
      </x:c>
      <x:c r="F13" s="65" t="str">
        <x:v>Por iniciar</x:v>
      </x:c>
      <x:c r="G13" s="65" t="n">
        <x:v>5</x:v>
      </x:c>
      <x:c r="H13" s="65" t="n">
        <x:v>0</x:v>
      </x:c>
      <x:c r="I13" s="65" t="n">
        <x:f>G13-H13</x:f>
        <x:v>5</x:v>
      </x:c>
      <x:c r="J13" s="65" t="n">
        <x:v>0</x:v>
      </x:c>
      <x:c r="K13" s="65" t="n">
        <x:f>I13-J13</x:f>
        <x:v>5</x:v>
      </x:c>
      <x:c r="L13" s="65" t="n">
        <x:v>0</x:v>
      </x:c>
      <x:c r="M13" s="65" t="n">
        <x:f>K13-L13</x:f>
        <x:v>5</x:v>
      </x:c>
      <x:c r="N13" s="65" t="n">
        <x:v>0</x:v>
      </x:c>
      <x:c r="O13" s="65" t="n">
        <x:f>M13-N13</x:f>
        <x:v>5</x:v>
      </x:c>
      <x:c r="P13" s="65" t="n">
        <x:v>0</x:v>
      </x:c>
      <x:c r="Q13" s="65" t="n">
        <x:f>O13-P13</x:f>
        <x:v>5</x:v>
      </x:c>
      <x:c r="R13" s="65" t="n">
        <x:v>0</x:v>
      </x:c>
      <x:c r="S13" s="65" t="n">
        <x:f>Q13-R13</x:f>
        <x:v>5</x:v>
      </x:c>
      <x:c r="T13" s="65" t="n">
        <x:v>0</x:v>
      </x:c>
      <x:c r="U13" s="65" t="n">
        <x:f>S13-T13</x:f>
        <x:v>5</x:v>
      </x:c>
      <x:c r="V13" s="65" t="n">
        <x:v>0</x:v>
      </x:c>
      <x:c r="W13" s="65" t="n">
        <x:f>U13-V13</x:f>
        <x:v>5</x:v>
      </x:c>
      <x:c r="X13" s="65" t="n">
        <x:v>0</x:v>
      </x:c>
      <x:c r="Y13" s="65" t="n">
        <x:f>W13-X13</x:f>
        <x:v>5</x:v>
      </x:c>
      <x:c r="Z13" s="65" t="n">
        <x:v>0</x:v>
      </x:c>
      <x:c r="AA13" s="65" t="n">
        <x:f>Y13-Z13</x:f>
        <x:v>5</x:v>
      </x:c>
      <x:c r="AB13" s="65" t="n">
        <x:f>SUM(H13,J13,L13,N13,P13,R13,T13,V13,X13,Z13)</x:f>
        <x:v>0</x:v>
      </x:c>
      <x:c r="AC13" s="65" t="n">
        <x:f>AA13</x:f>
        <x:v>5</x:v>
      </x:c>
    </x:row>
    <x:row r="14" ht="15" hidden="0" customHeight="1">
      <x:c r="B14" s="64" t="str"/>
      <x:c r="C14" s="64" t="str"/>
      <x:c r="D14" s="64" t="str">
        <x:v>Diseñar e implementar formulario de registro en React</x:v>
      </x:c>
      <x:c r="E14" s="65" t="str">
        <x:v>Rodrigo Romero</x:v>
      </x:c>
      <x:c r="F14" s="65" t="str">
        <x:v>Por iniciar</x:v>
      </x:c>
      <x:c r="G14" s="65" t="n">
        <x:v>5</x:v>
      </x:c>
      <x:c r="H14" s="65" t="n">
        <x:v>0</x:v>
      </x:c>
      <x:c r="I14" s="65" t="n">
        <x:f>G14-H14</x:f>
        <x:v>5</x:v>
      </x:c>
      <x:c r="J14" s="65" t="n">
        <x:v>0</x:v>
      </x:c>
      <x:c r="K14" s="65" t="n">
        <x:f>I14-J14</x:f>
        <x:v>5</x:v>
      </x:c>
      <x:c r="L14" s="65" t="n">
        <x:v>0</x:v>
      </x:c>
      <x:c r="M14" s="65" t="n">
        <x:f>K14-L14</x:f>
        <x:v>5</x:v>
      </x:c>
      <x:c r="N14" s="65" t="n">
        <x:v>0</x:v>
      </x:c>
      <x:c r="O14" s="65" t="n">
        <x:f>M14-N14</x:f>
        <x:v>5</x:v>
      </x:c>
      <x:c r="P14" s="65" t="n">
        <x:v>0</x:v>
      </x:c>
      <x:c r="Q14" s="65" t="n">
        <x:f>O14-P14</x:f>
        <x:v>5</x:v>
      </x:c>
      <x:c r="R14" s="65" t="n">
        <x:v>0</x:v>
      </x:c>
      <x:c r="S14" s="65" t="n">
        <x:f>Q14-R14</x:f>
        <x:v>5</x:v>
      </x:c>
      <x:c r="T14" s="65" t="n">
        <x:v>0</x:v>
      </x:c>
      <x:c r="U14" s="65" t="n">
        <x:f>S14-T14</x:f>
        <x:v>5</x:v>
      </x:c>
      <x:c r="V14" s="65" t="n">
        <x:v>0</x:v>
      </x:c>
      <x:c r="W14" s="65" t="n">
        <x:f>U14-V14</x:f>
        <x:v>5</x:v>
      </x:c>
      <x:c r="X14" s="65" t="n">
        <x:v>0</x:v>
      </x:c>
      <x:c r="Y14" s="65" t="n">
        <x:f>W14-X14</x:f>
        <x:v>5</x:v>
      </x:c>
      <x:c r="Z14" s="65" t="n">
        <x:v>0</x:v>
      </x:c>
      <x:c r="AA14" s="65" t="n">
        <x:f>Y14-Z14</x:f>
        <x:v>5</x:v>
      </x:c>
      <x:c r="AB14" s="65" t="n">
        <x:f>SUM(H14,J14,L14,N14,P14,R14,T14,V14,X14,Z14)</x:f>
        <x:v>0</x:v>
      </x:c>
      <x:c r="AC14" s="65" t="n">
        <x:f>AA14</x:f>
        <x:v>5</x:v>
      </x:c>
    </x:row>
    <x:row r="15" ht="21.600000381469727" hidden="0" customHeight="1">
      <x:c r="B15" s="64" t="str"/>
      <x:c r="C15" s="64" t="str"/>
      <x:c r="D15" s="64" t="str">
        <x:v>Integrar registro con activación automática y mensajes de resultado</x:v>
      </x:c>
      <x:c r="E15" s="65" t="str">
        <x:v>Rodrigo Romero</x:v>
      </x:c>
      <x:c r="F15" s="65" t="str">
        <x:v>Por iniciar</x:v>
      </x:c>
      <x:c r="G15" s="65" t="n">
        <x:v>3</x:v>
      </x:c>
      <x:c r="H15" s="65" t="n">
        <x:v>0</x:v>
      </x:c>
      <x:c r="I15" s="65" t="n">
        <x:f>G15-H15</x:f>
        <x:v>3</x:v>
      </x:c>
      <x:c r="J15" s="65" t="n">
        <x:v>0</x:v>
      </x:c>
      <x:c r="K15" s="65" t="n">
        <x:f>I15-J15</x:f>
        <x:v>3</x:v>
      </x:c>
      <x:c r="L15" s="65" t="n">
        <x:v>0</x:v>
      </x:c>
      <x:c r="M15" s="65" t="n">
        <x:f>K15-L15</x:f>
        <x:v>3</x:v>
      </x:c>
      <x:c r="N15" s="65" t="n">
        <x:v>0</x:v>
      </x:c>
      <x:c r="O15" s="65" t="n">
        <x:f>M15-N15</x:f>
        <x:v>3</x:v>
      </x:c>
      <x:c r="P15" s="65" t="n">
        <x:v>0</x:v>
      </x:c>
      <x:c r="Q15" s="65" t="n">
        <x:f>O15-P15</x:f>
        <x:v>3</x:v>
      </x:c>
      <x:c r="R15" s="65" t="n">
        <x:v>0</x:v>
      </x:c>
      <x:c r="S15" s="65" t="n">
        <x:f>Q15-R15</x:f>
        <x:v>3</x:v>
      </x:c>
      <x:c r="T15" s="65" t="n">
        <x:v>0</x:v>
      </x:c>
      <x:c r="U15" s="65" t="n">
        <x:f>S15-T15</x:f>
        <x:v>3</x:v>
      </x:c>
      <x:c r="V15" s="65" t="n">
        <x:v>0</x:v>
      </x:c>
      <x:c r="W15" s="65" t="n">
        <x:f>U15-V15</x:f>
        <x:v>3</x:v>
      </x:c>
      <x:c r="X15" s="65" t="n">
        <x:v>0</x:v>
      </x:c>
      <x:c r="Y15" s="65" t="n">
        <x:f>W15-X15</x:f>
        <x:v>3</x:v>
      </x:c>
      <x:c r="Z15" s="65" t="n">
        <x:v>0</x:v>
      </x:c>
      <x:c r="AA15" s="65" t="n">
        <x:f>Y15-Z15</x:f>
        <x:v>3</x:v>
      </x:c>
      <x:c r="AB15" s="65" t="n">
        <x:f>SUM(H15,J15,L15,N15,P15,R15,T15,V15,X15,Z15)</x:f>
        <x:v>0</x:v>
      </x:c>
      <x:c r="AC15" s="65" t="n">
        <x:f>AA15</x:f>
        <x:v>3</x:v>
      </x:c>
    </x:row>
    <x:row r="16" ht="21.600000381469727" hidden="0" customHeight="1">
      <x:c r="B16" s="64" t="str"/>
      <x:c r="C16" s="64" t="str"/>
      <x:c r="D16" s="64" t="str">
        <x:v>Probar duplicados, formatos, campos obligatorios y registro exitoso</x:v>
      </x:c>
      <x:c r="E16" s="65" t="str">
        <x:v>Richard Diaz</x:v>
      </x:c>
      <x:c r="F16" s="65" t="str">
        <x:v>Por iniciar</x:v>
      </x:c>
      <x:c r="G16" s="65" t="n">
        <x:v>4</x:v>
      </x:c>
      <x:c r="H16" s="65" t="n">
        <x:v>0</x:v>
      </x:c>
      <x:c r="I16" s="65" t="n">
        <x:f>G16-H16</x:f>
        <x:v>4</x:v>
      </x:c>
      <x:c r="J16" s="65" t="n">
        <x:v>0</x:v>
      </x:c>
      <x:c r="K16" s="65" t="n">
        <x:f>I16-J16</x:f>
        <x:v>4</x:v>
      </x:c>
      <x:c r="L16" s="65" t="n">
        <x:v>0</x:v>
      </x:c>
      <x:c r="M16" s="65" t="n">
        <x:f>K16-L16</x:f>
        <x:v>4</x:v>
      </x:c>
      <x:c r="N16" s="65" t="n">
        <x:v>0</x:v>
      </x:c>
      <x:c r="O16" s="65" t="n">
        <x:f>M16-N16</x:f>
        <x:v>4</x:v>
      </x:c>
      <x:c r="P16" s="65" t="n">
        <x:v>0</x:v>
      </x:c>
      <x:c r="Q16" s="65" t="n">
        <x:f>O16-P16</x:f>
        <x:v>4</x:v>
      </x:c>
      <x:c r="R16" s="65" t="n">
        <x:v>0</x:v>
      </x:c>
      <x:c r="S16" s="65" t="n">
        <x:f>Q16-R16</x:f>
        <x:v>4</x:v>
      </x:c>
      <x:c r="T16" s="65" t="n">
        <x:v>0</x:v>
      </x:c>
      <x:c r="U16" s="65" t="n">
        <x:f>S16-T16</x:f>
        <x:v>4</x:v>
      </x:c>
      <x:c r="V16" s="65" t="n">
        <x:v>0</x:v>
      </x:c>
      <x:c r="W16" s="65" t="n">
        <x:f>U16-V16</x:f>
        <x:v>4</x:v>
      </x:c>
      <x:c r="X16" s="65" t="n">
        <x:v>0</x:v>
      </x:c>
      <x:c r="Y16" s="65" t="n">
        <x:f>W16-X16</x:f>
        <x:v>4</x:v>
      </x:c>
      <x:c r="Z16" s="65" t="n">
        <x:v>0</x:v>
      </x:c>
      <x:c r="AA16" s="65" t="n">
        <x:f>Y16-Z16</x:f>
        <x:v>4</x:v>
      </x:c>
      <x:c r="AB16" s="65" t="n">
        <x:f>SUM(H16,J16,L16,N16,P16,R16,T16,V16,X16,Z16)</x:f>
        <x:v>0</x:v>
      </x:c>
      <x:c r="AC16" s="65" t="n">
        <x:f>AA16</x:f>
        <x:v>4</x:v>
      </x:c>
    </x:row>
    <x:row r="17" ht="43.20000076293945" hidden="0" customHeight="1">
      <x:c r="B17" s="63" t="str">
        <x:v>HU-03</x:v>
      </x:c>
      <x:c r="C17" s="63" t="str">
        <x:v>Como vecino, quiero consultar y actualizar mi perfil con mis datos básicos, fecha de nacimiento y sector, para mantener mi información vigente y contribuir a la caracterización agregada de mi comunidad.</x:v>
      </x:c>
      <x:c r="D17" s="64" t="str">
        <x:v>Definir campos del perfil y reglas de privacidad de datos personales</x:v>
      </x:c>
      <x:c r="E17" s="65" t="str">
        <x:v>Ivan Tamayo</x:v>
      </x:c>
      <x:c r="F17" s="65" t="str">
        <x:v>Por iniciar</x:v>
      </x:c>
      <x:c r="G17" s="65" t="n">
        <x:v>3</x:v>
      </x:c>
      <x:c r="H17" s="65" t="n">
        <x:v>0</x:v>
      </x:c>
      <x:c r="I17" s="65" t="n">
        <x:f>G17-H17</x:f>
        <x:v>3</x:v>
      </x:c>
      <x:c r="J17" s="65" t="n">
        <x:v>0</x:v>
      </x:c>
      <x:c r="K17" s="65" t="n">
        <x:f>I17-J17</x:f>
        <x:v>3</x:v>
      </x:c>
      <x:c r="L17" s="65" t="n">
        <x:v>0</x:v>
      </x:c>
      <x:c r="M17" s="65" t="n">
        <x:f>K17-L17</x:f>
        <x:v>3</x:v>
      </x:c>
      <x:c r="N17" s="65" t="n">
        <x:v>0</x:v>
      </x:c>
      <x:c r="O17" s="65" t="n">
        <x:f>M17-N17</x:f>
        <x:v>3</x:v>
      </x:c>
      <x:c r="P17" s="65" t="n">
        <x:v>0</x:v>
      </x:c>
      <x:c r="Q17" s="65" t="n">
        <x:f>O17-P17</x:f>
        <x:v>3</x:v>
      </x:c>
      <x:c r="R17" s="65" t="n">
        <x:v>0</x:v>
      </x:c>
      <x:c r="S17" s="65" t="n">
        <x:f>Q17-R17</x:f>
        <x:v>3</x:v>
      </x:c>
      <x:c r="T17" s="65" t="n">
        <x:v>0</x:v>
      </x:c>
      <x:c r="U17" s="65" t="n">
        <x:f>S17-T17</x:f>
        <x:v>3</x:v>
      </x:c>
      <x:c r="V17" s="65" t="n">
        <x:v>0</x:v>
      </x:c>
      <x:c r="W17" s="65" t="n">
        <x:f>U17-V17</x:f>
        <x:v>3</x:v>
      </x:c>
      <x:c r="X17" s="65" t="n">
        <x:v>0</x:v>
      </x:c>
      <x:c r="Y17" s="65" t="n">
        <x:f>W17-X17</x:f>
        <x:v>3</x:v>
      </x:c>
      <x:c r="Z17" s="65" t="n">
        <x:v>0</x:v>
      </x:c>
      <x:c r="AA17" s="65" t="n">
        <x:f>Y17-Z17</x:f>
        <x:v>3</x:v>
      </x:c>
      <x:c r="AB17" s="65" t="n">
        <x:f>SUM(H17,J17,L17,N17,P17,R17,T17,V17,X17,Z17)</x:f>
        <x:v>0</x:v>
      </x:c>
      <x:c r="AC17" s="65" t="n">
        <x:f>AA17</x:f>
        <x:v>3</x:v>
      </x:c>
    </x:row>
    <x:row r="18" ht="15" hidden="0" customHeight="1">
      <x:c r="B18" s="64" t="str"/>
      <x:c r="C18" s="64" t="str"/>
      <x:c r="D18" s="64" t="str">
        <x:v>Implementar consulta y actualización del perfil en Django</x:v>
      </x:c>
      <x:c r="E18" s="65" t="str">
        <x:v>Ivan Tamayo</x:v>
      </x:c>
      <x:c r="F18" s="65" t="str">
        <x:v>Por iniciar</x:v>
      </x:c>
      <x:c r="G18" s="65" t="n">
        <x:v>5</x:v>
      </x:c>
      <x:c r="H18" s="65" t="n">
        <x:v>0</x:v>
      </x:c>
      <x:c r="I18" s="65" t="n">
        <x:f>G18-H18</x:f>
        <x:v>5</x:v>
      </x:c>
      <x:c r="J18" s="65" t="n">
        <x:v>0</x:v>
      </x:c>
      <x:c r="K18" s="65" t="n">
        <x:f>I18-J18</x:f>
        <x:v>5</x:v>
      </x:c>
      <x:c r="L18" s="65" t="n">
        <x:v>0</x:v>
      </x:c>
      <x:c r="M18" s="65" t="n">
        <x:f>K18-L18</x:f>
        <x:v>5</x:v>
      </x:c>
      <x:c r="N18" s="65" t="n">
        <x:v>0</x:v>
      </x:c>
      <x:c r="O18" s="65" t="n">
        <x:f>M18-N18</x:f>
        <x:v>5</x:v>
      </x:c>
      <x:c r="P18" s="65" t="n">
        <x:v>0</x:v>
      </x:c>
      <x:c r="Q18" s="65" t="n">
        <x:f>O18-P18</x:f>
        <x:v>5</x:v>
      </x:c>
      <x:c r="R18" s="65" t="n">
        <x:v>0</x:v>
      </x:c>
      <x:c r="S18" s="65" t="n">
        <x:f>Q18-R18</x:f>
        <x:v>5</x:v>
      </x:c>
      <x:c r="T18" s="65" t="n">
        <x:v>0</x:v>
      </x:c>
      <x:c r="U18" s="65" t="n">
        <x:f>S18-T18</x:f>
        <x:v>5</x:v>
      </x:c>
      <x:c r="V18" s="65" t="n">
        <x:v>0</x:v>
      </x:c>
      <x:c r="W18" s="65" t="n">
        <x:f>U18-V18</x:f>
        <x:v>5</x:v>
      </x:c>
      <x:c r="X18" s="65" t="n">
        <x:v>0</x:v>
      </x:c>
      <x:c r="Y18" s="65" t="n">
        <x:f>W18-X18</x:f>
        <x:v>5</x:v>
      </x:c>
      <x:c r="Z18" s="65" t="n">
        <x:v>0</x:v>
      </x:c>
      <x:c r="AA18" s="65" t="n">
        <x:f>Y18-Z18</x:f>
        <x:v>5</x:v>
      </x:c>
      <x:c r="AB18" s="65" t="n">
        <x:f>SUM(H18,J18,L18,N18,P18,R18,T18,V18,X18,Z18)</x:f>
        <x:v>0</x:v>
      </x:c>
      <x:c r="AC18" s="65" t="n">
        <x:f>AA18</x:f>
        <x:v>5</x:v>
      </x:c>
    </x:row>
    <x:row r="19" ht="15" hidden="0" customHeight="1">
      <x:c r="B19" s="64" t="str"/>
      <x:c r="C19" s="64" t="str"/>
      <x:c r="D19" s="64" t="str">
        <x:v>Diseñar e implementar vista Mi Perfil en React</x:v>
      </x:c>
      <x:c r="E19" s="65" t="str">
        <x:v>Rodrigo Romero</x:v>
      </x:c>
      <x:c r="F19" s="65" t="str">
        <x:v>Por iniciar</x:v>
      </x:c>
      <x:c r="G19" s="65" t="n">
        <x:v>5</x:v>
      </x:c>
      <x:c r="H19" s="65" t="n">
        <x:v>0</x:v>
      </x:c>
      <x:c r="I19" s="65" t="n">
        <x:f>G19-H19</x:f>
        <x:v>5</x:v>
      </x:c>
      <x:c r="J19" s="65" t="n">
        <x:v>0</x:v>
      </x:c>
      <x:c r="K19" s="65" t="n">
        <x:f>I19-J19</x:f>
        <x:v>5</x:v>
      </x:c>
      <x:c r="L19" s="65" t="n">
        <x:v>0</x:v>
      </x:c>
      <x:c r="M19" s="65" t="n">
        <x:f>K19-L19</x:f>
        <x:v>5</x:v>
      </x:c>
      <x:c r="N19" s="65" t="n">
        <x:v>0</x:v>
      </x:c>
      <x:c r="O19" s="65" t="n">
        <x:f>M19-N19</x:f>
        <x:v>5</x:v>
      </x:c>
      <x:c r="P19" s="65" t="n">
        <x:v>0</x:v>
      </x:c>
      <x:c r="Q19" s="65" t="n">
        <x:f>O19-P19</x:f>
        <x:v>5</x:v>
      </x:c>
      <x:c r="R19" s="65" t="n">
        <x:v>0</x:v>
      </x:c>
      <x:c r="S19" s="65" t="n">
        <x:f>Q19-R19</x:f>
        <x:v>5</x:v>
      </x:c>
      <x:c r="T19" s="65" t="n">
        <x:v>0</x:v>
      </x:c>
      <x:c r="U19" s="65" t="n">
        <x:f>S19-T19</x:f>
        <x:v>5</x:v>
      </x:c>
      <x:c r="V19" s="65" t="n">
        <x:v>0</x:v>
      </x:c>
      <x:c r="W19" s="65" t="n">
        <x:f>U19-V19</x:f>
        <x:v>5</x:v>
      </x:c>
      <x:c r="X19" s="65" t="n">
        <x:v>0</x:v>
      </x:c>
      <x:c r="Y19" s="65" t="n">
        <x:f>W19-X19</x:f>
        <x:v>5</x:v>
      </x:c>
      <x:c r="Z19" s="65" t="n">
        <x:v>0</x:v>
      </x:c>
      <x:c r="AA19" s="65" t="n">
        <x:f>Y19-Z19</x:f>
        <x:v>5</x:v>
      </x:c>
      <x:c r="AB19" s="65" t="n">
        <x:f>SUM(H19,J19,L19,N19,P19,R19,T19,V19,X19,Z19)</x:f>
        <x:v>0</x:v>
      </x:c>
      <x:c r="AC19" s="65" t="n">
        <x:f>AA19</x:f>
        <x:v>5</x:v>
      </x:c>
    </x:row>
    <x:row r="20" ht="21.600000381469727" hidden="0" customHeight="1">
      <x:c r="B20" s="64" t="str"/>
      <x:c r="C20" s="64" t="str"/>
      <x:c r="D20" s="64" t="str">
        <x:v>Integrar fecha de nacimiento y sector con la información de caracterización</x:v>
      </x:c>
      <x:c r="E20" s="65" t="str">
        <x:v>Ivan Tamayo</x:v>
      </x:c>
      <x:c r="F20" s="65" t="str">
        <x:v>Por iniciar</x:v>
      </x:c>
      <x:c r="G20" s="65" t="n">
        <x:v>3</x:v>
      </x:c>
      <x:c r="H20" s="65" t="n">
        <x:v>0</x:v>
      </x:c>
      <x:c r="I20" s="65" t="n">
        <x:f>G20-H20</x:f>
        <x:v>3</x:v>
      </x:c>
      <x:c r="J20" s="65" t="n">
        <x:v>0</x:v>
      </x:c>
      <x:c r="K20" s="65" t="n">
        <x:f>I20-J20</x:f>
        <x:v>3</x:v>
      </x:c>
      <x:c r="L20" s="65" t="n">
        <x:v>0</x:v>
      </x:c>
      <x:c r="M20" s="65" t="n">
        <x:f>K20-L20</x:f>
        <x:v>3</x:v>
      </x:c>
      <x:c r="N20" s="65" t="n">
        <x:v>0</x:v>
      </x:c>
      <x:c r="O20" s="65" t="n">
        <x:f>M20-N20</x:f>
        <x:v>3</x:v>
      </x:c>
      <x:c r="P20" s="65" t="n">
        <x:v>0</x:v>
      </x:c>
      <x:c r="Q20" s="65" t="n">
        <x:f>O20-P20</x:f>
        <x:v>3</x:v>
      </x:c>
      <x:c r="R20" s="65" t="n">
        <x:v>0</x:v>
      </x:c>
      <x:c r="S20" s="65" t="n">
        <x:f>Q20-R20</x:f>
        <x:v>3</x:v>
      </x:c>
      <x:c r="T20" s="65" t="n">
        <x:v>0</x:v>
      </x:c>
      <x:c r="U20" s="65" t="n">
        <x:f>S20-T20</x:f>
        <x:v>3</x:v>
      </x:c>
      <x:c r="V20" s="65" t="n">
        <x:v>0</x:v>
      </x:c>
      <x:c r="W20" s="65" t="n">
        <x:f>U20-V20</x:f>
        <x:v>3</x:v>
      </x:c>
      <x:c r="X20" s="65" t="n">
        <x:v>0</x:v>
      </x:c>
      <x:c r="Y20" s="65" t="n">
        <x:f>W20-X20</x:f>
        <x:v>3</x:v>
      </x:c>
      <x:c r="Z20" s="65" t="n">
        <x:v>0</x:v>
      </x:c>
      <x:c r="AA20" s="65" t="n">
        <x:f>Y20-Z20</x:f>
        <x:v>3</x:v>
      </x:c>
      <x:c r="AB20" s="65" t="n">
        <x:f>SUM(H20,J20,L20,N20,P20,R20,T20,V20,X20,Z20)</x:f>
        <x:v>0</x:v>
      </x:c>
      <x:c r="AC20" s="65" t="n">
        <x:f>AA20</x:f>
        <x:v>3</x:v>
      </x:c>
    </x:row>
    <x:row r="21" ht="15" hidden="0" customHeight="1">
      <x:c r="B21" s="64" t="str"/>
      <x:c r="C21" s="64" t="str"/>
      <x:c r="D21" s="64" t="str">
        <x:v>Ejecutar pruebas de validación, edición y protección de datos</x:v>
      </x:c>
      <x:c r="E21" s="65" t="str">
        <x:v>Richard Diaz</x:v>
      </x:c>
      <x:c r="F21" s="65" t="str">
        <x:v>Por iniciar</x:v>
      </x:c>
      <x:c r="G21" s="65" t="n">
        <x:v>4</x:v>
      </x:c>
      <x:c r="H21" s="65" t="n">
        <x:v>0</x:v>
      </x:c>
      <x:c r="I21" s="65" t="n">
        <x:f>G21-H21</x:f>
        <x:v>4</x:v>
      </x:c>
      <x:c r="J21" s="65" t="n">
        <x:v>0</x:v>
      </x:c>
      <x:c r="K21" s="65" t="n">
        <x:f>I21-J21</x:f>
        <x:v>4</x:v>
      </x:c>
      <x:c r="L21" s="65" t="n">
        <x:v>0</x:v>
      </x:c>
      <x:c r="M21" s="65" t="n">
        <x:f>K21-L21</x:f>
        <x:v>4</x:v>
      </x:c>
      <x:c r="N21" s="65" t="n">
        <x:v>0</x:v>
      </x:c>
      <x:c r="O21" s="65" t="n">
        <x:f>M21-N21</x:f>
        <x:v>4</x:v>
      </x:c>
      <x:c r="P21" s="65" t="n">
        <x:v>0</x:v>
      </x:c>
      <x:c r="Q21" s="65" t="n">
        <x:f>O21-P21</x:f>
        <x:v>4</x:v>
      </x:c>
      <x:c r="R21" s="65" t="n">
        <x:v>0</x:v>
      </x:c>
      <x:c r="S21" s="65" t="n">
        <x:f>Q21-R21</x:f>
        <x:v>4</x:v>
      </x:c>
      <x:c r="T21" s="65" t="n">
        <x:v>0</x:v>
      </x:c>
      <x:c r="U21" s="65" t="n">
        <x:f>S21-T21</x:f>
        <x:v>4</x:v>
      </x:c>
      <x:c r="V21" s="65" t="n">
        <x:v>0</x:v>
      </x:c>
      <x:c r="W21" s="65" t="n">
        <x:f>U21-V21</x:f>
        <x:v>4</x:v>
      </x:c>
      <x:c r="X21" s="65" t="n">
        <x:v>0</x:v>
      </x:c>
      <x:c r="Y21" s="65" t="n">
        <x:f>W21-X21</x:f>
        <x:v>4</x:v>
      </x:c>
      <x:c r="Z21" s="65" t="n">
        <x:v>0</x:v>
      </x:c>
      <x:c r="AA21" s="65" t="n">
        <x:f>Y21-Z21</x:f>
        <x:v>4</x:v>
      </x:c>
      <x:c r="AB21" s="65" t="n">
        <x:f>SUM(H21,J21,L21,N21,P21,R21,T21,V21,X21,Z21)</x:f>
        <x:v>0</x:v>
      </x:c>
      <x:c r="AC21" s="65" t="n">
        <x:f>AA21</x:f>
        <x:v>4</x:v>
      </x:c>
    </x:row>
    <x:row r="22" ht="32.400001525878906" hidden="0" customHeight="1">
      <x:c r="B22" s="63" t="str">
        <x:v>HU-04</x:v>
      </x:c>
      <x:c r="C22" s="63" t="str">
        <x:v>Como administrador, quiero crear y administrar juntas de vecinos y asociar usuarios a la junta y sector que corresponda, para mantener organizada la estructura territorial de la plataforma.</x:v>
      </x:c>
      <x:c r="D22" s="64" t="str">
        <x:v>Modelar juntas, sectores y relaciones de asociación en MySQL/Django</x:v>
      </x:c>
      <x:c r="E22" s="65" t="str">
        <x:v>Ivan Tamayo</x:v>
      </x:c>
      <x:c r="F22" s="65" t="str">
        <x:v>Por iniciar</x:v>
      </x:c>
      <x:c r="G22" s="65" t="n">
        <x:v>6</x:v>
      </x:c>
      <x:c r="H22" s="65" t="n">
        <x:v>0</x:v>
      </x:c>
      <x:c r="I22" s="65" t="n">
        <x:f>G22-H22</x:f>
        <x:v>6</x:v>
      </x:c>
      <x:c r="J22" s="65" t="n">
        <x:v>0</x:v>
      </x:c>
      <x:c r="K22" s="65" t="n">
        <x:f>I22-J22</x:f>
        <x:v>6</x:v>
      </x:c>
      <x:c r="L22" s="65" t="n">
        <x:v>0</x:v>
      </x:c>
      <x:c r="M22" s="65" t="n">
        <x:f>K22-L22</x:f>
        <x:v>6</x:v>
      </x:c>
      <x:c r="N22" s="65" t="n">
        <x:v>0</x:v>
      </x:c>
      <x:c r="O22" s="65" t="n">
        <x:f>M22-N22</x:f>
        <x:v>6</x:v>
      </x:c>
      <x:c r="P22" s="65" t="n">
        <x:v>0</x:v>
      </x:c>
      <x:c r="Q22" s="65" t="n">
        <x:f>O22-P22</x:f>
        <x:v>6</x:v>
      </x:c>
      <x:c r="R22" s="65" t="n">
        <x:v>0</x:v>
      </x:c>
      <x:c r="S22" s="65" t="n">
        <x:f>Q22-R22</x:f>
        <x:v>6</x:v>
      </x:c>
      <x:c r="T22" s="65" t="n">
        <x:v>0</x:v>
      </x:c>
      <x:c r="U22" s="65" t="n">
        <x:f>S22-T22</x:f>
        <x:v>6</x:v>
      </x:c>
      <x:c r="V22" s="65" t="n">
        <x:v>0</x:v>
      </x:c>
      <x:c r="W22" s="65" t="n">
        <x:f>U22-V22</x:f>
        <x:v>6</x:v>
      </x:c>
      <x:c r="X22" s="65" t="n">
        <x:v>0</x:v>
      </x:c>
      <x:c r="Y22" s="65" t="n">
        <x:f>W22-X22</x:f>
        <x:v>6</x:v>
      </x:c>
      <x:c r="Z22" s="65" t="n">
        <x:v>0</x:v>
      </x:c>
      <x:c r="AA22" s="65" t="n">
        <x:f>Y22-Z22</x:f>
        <x:v>6</x:v>
      </x:c>
      <x:c r="AB22" s="65" t="n">
        <x:f>SUM(H22,J22,L22,N22,P22,R22,T22,V22,X22,Z22)</x:f>
        <x:v>0</x:v>
      </x:c>
      <x:c r="AC22" s="65" t="n">
        <x:f>AA22</x:f>
        <x:v>6</x:v>
      </x:c>
    </x:row>
    <x:row r="23" ht="15" hidden="0" customHeight="1">
      <x:c r="B23" s="64" t="str"/>
      <x:c r="C23" s="64" t="str"/>
      <x:c r="D23" s="64" t="str">
        <x:v>Implementar CRUD y endpoints de juntas y sectores</x:v>
      </x:c>
      <x:c r="E23" s="65" t="str">
        <x:v>Ivan Tamayo</x:v>
      </x:c>
      <x:c r="F23" s="65" t="str">
        <x:v>Por iniciar</x:v>
      </x:c>
      <x:c r="G23" s="65" t="n">
        <x:v>6</x:v>
      </x:c>
      <x:c r="H23" s="65" t="n">
        <x:v>0</x:v>
      </x:c>
      <x:c r="I23" s="65" t="n">
        <x:f>G23-H23</x:f>
        <x:v>6</x:v>
      </x:c>
      <x:c r="J23" s="65" t="n">
        <x:v>0</x:v>
      </x:c>
      <x:c r="K23" s="65" t="n">
        <x:f>I23-J23</x:f>
        <x:v>6</x:v>
      </x:c>
      <x:c r="L23" s="65" t="n">
        <x:v>0</x:v>
      </x:c>
      <x:c r="M23" s="65" t="n">
        <x:f>K23-L23</x:f>
        <x:v>6</x:v>
      </x:c>
      <x:c r="N23" s="65" t="n">
        <x:v>0</x:v>
      </x:c>
      <x:c r="O23" s="65" t="n">
        <x:f>M23-N23</x:f>
        <x:v>6</x:v>
      </x:c>
      <x:c r="P23" s="65" t="n">
        <x:v>0</x:v>
      </x:c>
      <x:c r="Q23" s="65" t="n">
        <x:f>O23-P23</x:f>
        <x:v>6</x:v>
      </x:c>
      <x:c r="R23" s="65" t="n">
        <x:v>0</x:v>
      </x:c>
      <x:c r="S23" s="65" t="n">
        <x:f>Q23-R23</x:f>
        <x:v>6</x:v>
      </x:c>
      <x:c r="T23" s="65" t="n">
        <x:v>0</x:v>
      </x:c>
      <x:c r="U23" s="65" t="n">
        <x:f>S23-T23</x:f>
        <x:v>6</x:v>
      </x:c>
      <x:c r="V23" s="65" t="n">
        <x:v>0</x:v>
      </x:c>
      <x:c r="W23" s="65" t="n">
        <x:f>U23-V23</x:f>
        <x:v>6</x:v>
      </x:c>
      <x:c r="X23" s="65" t="n">
        <x:v>0</x:v>
      </x:c>
      <x:c r="Y23" s="65" t="n">
        <x:f>W23-X23</x:f>
        <x:v>6</x:v>
      </x:c>
      <x:c r="Z23" s="65" t="n">
        <x:v>0</x:v>
      </x:c>
      <x:c r="AA23" s="65" t="n">
        <x:f>Y23-Z23</x:f>
        <x:v>6</x:v>
      </x:c>
      <x:c r="AB23" s="65" t="n">
        <x:f>SUM(H23,J23,L23,N23,P23,R23,T23,V23,X23,Z23)</x:f>
        <x:v>0</x:v>
      </x:c>
      <x:c r="AC23" s="65" t="n">
        <x:f>AA23</x:f>
        <x:v>6</x:v>
      </x:c>
    </x:row>
    <x:row r="24" ht="15" hidden="0" customHeight="1">
      <x:c r="B24" s="64" t="str"/>
      <x:c r="C24" s="64" t="str"/>
      <x:c r="D24" s="64" t="str">
        <x:v>Diseñar e implementar administración de juntas y sectores</x:v>
      </x:c>
      <x:c r="E24" s="65" t="str">
        <x:v>Rodrigo Romero</x:v>
      </x:c>
      <x:c r="F24" s="65" t="str">
        <x:v>Por iniciar</x:v>
      </x:c>
      <x:c r="G24" s="65" t="n">
        <x:v>6</x:v>
      </x:c>
      <x:c r="H24" s="65" t="n">
        <x:v>0</x:v>
      </x:c>
      <x:c r="I24" s="65" t="n">
        <x:f>G24-H24</x:f>
        <x:v>6</x:v>
      </x:c>
      <x:c r="J24" s="65" t="n">
        <x:v>0</x:v>
      </x:c>
      <x:c r="K24" s="65" t="n">
        <x:f>I24-J24</x:f>
        <x:v>6</x:v>
      </x:c>
      <x:c r="L24" s="65" t="n">
        <x:v>0</x:v>
      </x:c>
      <x:c r="M24" s="65" t="n">
        <x:f>K24-L24</x:f>
        <x:v>6</x:v>
      </x:c>
      <x:c r="N24" s="65" t="n">
        <x:v>0</x:v>
      </x:c>
      <x:c r="O24" s="65" t="n">
        <x:f>M24-N24</x:f>
        <x:v>6</x:v>
      </x:c>
      <x:c r="P24" s="65" t="n">
        <x:v>0</x:v>
      </x:c>
      <x:c r="Q24" s="65" t="n">
        <x:f>O24-P24</x:f>
        <x:v>6</x:v>
      </x:c>
      <x:c r="R24" s="65" t="n">
        <x:v>0</x:v>
      </x:c>
      <x:c r="S24" s="65" t="n">
        <x:f>Q24-R24</x:f>
        <x:v>6</x:v>
      </x:c>
      <x:c r="T24" s="65" t="n">
        <x:v>0</x:v>
      </x:c>
      <x:c r="U24" s="65" t="n">
        <x:f>S24-T24</x:f>
        <x:v>6</x:v>
      </x:c>
      <x:c r="V24" s="65" t="n">
        <x:v>0</x:v>
      </x:c>
      <x:c r="W24" s="65" t="n">
        <x:f>U24-V24</x:f>
        <x:v>6</x:v>
      </x:c>
      <x:c r="X24" s="65" t="n">
        <x:v>0</x:v>
      </x:c>
      <x:c r="Y24" s="65" t="n">
        <x:f>W24-X24</x:f>
        <x:v>6</x:v>
      </x:c>
      <x:c r="Z24" s="65" t="n">
        <x:v>0</x:v>
      </x:c>
      <x:c r="AA24" s="65" t="n">
        <x:f>Y24-Z24</x:f>
        <x:v>6</x:v>
      </x:c>
      <x:c r="AB24" s="65" t="n">
        <x:f>SUM(H24,J24,L24,N24,P24,R24,T24,V24,X24,Z24)</x:f>
        <x:v>0</x:v>
      </x:c>
      <x:c r="AC24" s="65" t="n">
        <x:f>AA24</x:f>
        <x:v>6</x:v>
      </x:c>
    </x:row>
    <x:row r="25" ht="21.600000381469727" hidden="0" customHeight="1">
      <x:c r="B25" s="64" t="str"/>
      <x:c r="C25" s="64" t="str"/>
      <x:c r="D25" s="64" t="str">
        <x:v>Implementar selección de sector del vecino y confirmación por administrador</x:v>
      </x:c>
      <x:c r="E25" s="65" t="str">
        <x:v>Rodrigo Romero</x:v>
      </x:c>
      <x:c r="F25" s="65" t="str">
        <x:v>Por iniciar</x:v>
      </x:c>
      <x:c r="G25" s="65" t="n">
        <x:v>6</x:v>
      </x:c>
      <x:c r="H25" s="65" t="n">
        <x:v>0</x:v>
      </x:c>
      <x:c r="I25" s="65" t="n">
        <x:f>G25-H25</x:f>
        <x:v>6</x:v>
      </x:c>
      <x:c r="J25" s="65" t="n">
        <x:v>0</x:v>
      </x:c>
      <x:c r="K25" s="65" t="n">
        <x:f>I25-J25</x:f>
        <x:v>6</x:v>
      </x:c>
      <x:c r="L25" s="65" t="n">
        <x:v>0</x:v>
      </x:c>
      <x:c r="M25" s="65" t="n">
        <x:f>K25-L25</x:f>
        <x:v>6</x:v>
      </x:c>
      <x:c r="N25" s="65" t="n">
        <x:v>0</x:v>
      </x:c>
      <x:c r="O25" s="65" t="n">
        <x:f>M25-N25</x:f>
        <x:v>6</x:v>
      </x:c>
      <x:c r="P25" s="65" t="n">
        <x:v>0</x:v>
      </x:c>
      <x:c r="Q25" s="65" t="n">
        <x:f>O25-P25</x:f>
        <x:v>6</x:v>
      </x:c>
      <x:c r="R25" s="65" t="n">
        <x:v>0</x:v>
      </x:c>
      <x:c r="S25" s="65" t="n">
        <x:f>Q25-R25</x:f>
        <x:v>6</x:v>
      </x:c>
      <x:c r="T25" s="65" t="n">
        <x:v>0</x:v>
      </x:c>
      <x:c r="U25" s="65" t="n">
        <x:f>S25-T25</x:f>
        <x:v>6</x:v>
      </x:c>
      <x:c r="V25" s="65" t="n">
        <x:v>0</x:v>
      </x:c>
      <x:c r="W25" s="65" t="n">
        <x:f>U25-V25</x:f>
        <x:v>6</x:v>
      </x:c>
      <x:c r="X25" s="65" t="n">
        <x:v>0</x:v>
      </x:c>
      <x:c r="Y25" s="65" t="n">
        <x:f>W25-X25</x:f>
        <x:v>6</x:v>
      </x:c>
      <x:c r="Z25" s="65" t="n">
        <x:v>0</x:v>
      </x:c>
      <x:c r="AA25" s="65" t="n">
        <x:f>Y25-Z25</x:f>
        <x:v>6</x:v>
      </x:c>
      <x:c r="AB25" s="65" t="n">
        <x:f>SUM(H25,J25,L25,N25,P25,R25,T25,V25,X25,Z25)</x:f>
        <x:v>0</x:v>
      </x:c>
      <x:c r="AC25" s="65" t="n">
        <x:f>AA25</x:f>
        <x:v>6</x:v>
      </x:c>
    </x:row>
    <x:row r="26" ht="15" hidden="0" customHeight="1">
      <x:c r="B26" s="64" t="str"/>
      <x:c r="C26" s="64" t="str"/>
      <x:c r="D26" s="64" t="str">
        <x:v>Validar permisos y reglas de asociación territorial</x:v>
      </x:c>
      <x:c r="E26" s="65" t="str">
        <x:v>Richard Diaz</x:v>
      </x:c>
      <x:c r="F26" s="65" t="str">
        <x:v>Por iniciar</x:v>
      </x:c>
      <x:c r="G26" s="65" t="n">
        <x:v>4</x:v>
      </x:c>
      <x:c r="H26" s="65" t="n">
        <x:v>0</x:v>
      </x:c>
      <x:c r="I26" s="65" t="n">
        <x:f>G26-H26</x:f>
        <x:v>4</x:v>
      </x:c>
      <x:c r="J26" s="65" t="n">
        <x:v>0</x:v>
      </x:c>
      <x:c r="K26" s="65" t="n">
        <x:f>I26-J26</x:f>
        <x:v>4</x:v>
      </x:c>
      <x:c r="L26" s="65" t="n">
        <x:v>0</x:v>
      </x:c>
      <x:c r="M26" s="65" t="n">
        <x:f>K26-L26</x:f>
        <x:v>4</x:v>
      </x:c>
      <x:c r="N26" s="65" t="n">
        <x:v>0</x:v>
      </x:c>
      <x:c r="O26" s="65" t="n">
        <x:f>M26-N26</x:f>
        <x:v>4</x:v>
      </x:c>
      <x:c r="P26" s="65" t="n">
        <x:v>0</x:v>
      </x:c>
      <x:c r="Q26" s="65" t="n">
        <x:f>O26-P26</x:f>
        <x:v>4</x:v>
      </x:c>
      <x:c r="R26" s="65" t="n">
        <x:v>0</x:v>
      </x:c>
      <x:c r="S26" s="65" t="n">
        <x:f>Q26-R26</x:f>
        <x:v>4</x:v>
      </x:c>
      <x:c r="T26" s="65" t="n">
        <x:v>0</x:v>
      </x:c>
      <x:c r="U26" s="65" t="n">
        <x:f>S26-T26</x:f>
        <x:v>4</x:v>
      </x:c>
      <x:c r="V26" s="65" t="n">
        <x:v>0</x:v>
      </x:c>
      <x:c r="W26" s="65" t="n">
        <x:f>U26-V26</x:f>
        <x:v>4</x:v>
      </x:c>
      <x:c r="X26" s="65" t="n">
        <x:v>0</x:v>
      </x:c>
      <x:c r="Y26" s="65" t="n">
        <x:f>W26-X26</x:f>
        <x:v>4</x:v>
      </x:c>
      <x:c r="Z26" s="65" t="n">
        <x:v>0</x:v>
      </x:c>
      <x:c r="AA26" s="65" t="n">
        <x:f>Y26-Z26</x:f>
        <x:v>4</x:v>
      </x:c>
      <x:c r="AB26" s="65" t="n">
        <x:f>SUM(H26,J26,L26,N26,P26,R26,T26,V26,X26,Z26)</x:f>
        <x:v>0</x:v>
      </x:c>
      <x:c r="AC26" s="65" t="n">
        <x:f>AA26</x:f>
        <x:v>4</x:v>
      </x:c>
    </x:row>
    <x:row r="27" ht="15" hidden="0" customHeight="1">
      <x:c r="B27" s="64" t="str"/>
      <x:c r="C27" s="64" t="str"/>
      <x:c r="D27" s="64" t="str">
        <x:v>Ejecutar pruebas de integración de juntas, sectores y usuarios</x:v>
      </x:c>
      <x:c r="E27" s="65" t="str">
        <x:v>Richard Diaz</x:v>
      </x:c>
      <x:c r="F27" s="65" t="str">
        <x:v>Por iniciar</x:v>
      </x:c>
      <x:c r="G27" s="65" t="n">
        <x:v>4</x:v>
      </x:c>
      <x:c r="H27" s="65" t="n">
        <x:v>0</x:v>
      </x:c>
      <x:c r="I27" s="65" t="n">
        <x:f>G27-H27</x:f>
        <x:v>4</x:v>
      </x:c>
      <x:c r="J27" s="65" t="n">
        <x:v>0</x:v>
      </x:c>
      <x:c r="K27" s="65" t="n">
        <x:f>I27-J27</x:f>
        <x:v>4</x:v>
      </x:c>
      <x:c r="L27" s="65" t="n">
        <x:v>0</x:v>
      </x:c>
      <x:c r="M27" s="65" t="n">
        <x:f>K27-L27</x:f>
        <x:v>4</x:v>
      </x:c>
      <x:c r="N27" s="65" t="n">
        <x:v>0</x:v>
      </x:c>
      <x:c r="O27" s="65" t="n">
        <x:f>M27-N27</x:f>
        <x:v>4</x:v>
      </x:c>
      <x:c r="P27" s="65" t="n">
        <x:v>0</x:v>
      </x:c>
      <x:c r="Q27" s="65" t="n">
        <x:f>O27-P27</x:f>
        <x:v>4</x:v>
      </x:c>
      <x:c r="R27" s="65" t="n">
        <x:v>0</x:v>
      </x:c>
      <x:c r="S27" s="65" t="n">
        <x:f>Q27-R27</x:f>
        <x:v>4</x:v>
      </x:c>
      <x:c r="T27" s="65" t="n">
        <x:v>0</x:v>
      </x:c>
      <x:c r="U27" s="65" t="n">
        <x:f>S27-T27</x:f>
        <x:v>4</x:v>
      </x:c>
      <x:c r="V27" s="65" t="n">
        <x:v>0</x:v>
      </x:c>
      <x:c r="W27" s="65" t="n">
        <x:f>U27-V27</x:f>
        <x:v>4</x:v>
      </x:c>
      <x:c r="X27" s="65" t="n">
        <x:v>0</x:v>
      </x:c>
      <x:c r="Y27" s="65" t="n">
        <x:f>W27-X27</x:f>
        <x:v>4</x:v>
      </x:c>
      <x:c r="Z27" s="65" t="n">
        <x:v>0</x:v>
      </x:c>
      <x:c r="AA27" s="65" t="n">
        <x:f>Y27-Z27</x:f>
        <x:v>4</x:v>
      </x:c>
      <x:c r="AB27" s="65" t="n">
        <x:f>SUM(H27,J27,L27,N27,P27,R27,T27,V27,X27,Z27)</x:f>
        <x:v>0</x:v>
      </x:c>
      <x:c r="AC27" s="65" t="n">
        <x:f>AA27</x:f>
        <x:v>4</x:v>
      </x:c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27">
    <x:cfRule type="expression" dxfId="15" priority="1">
      <x:formula>F6="Hecho"</x:formula>
    </x:cfRule>
    <x:cfRule type="expression" dxfId="16" priority="2">
      <x:formula>F6="En proceso"</x:formula>
    </x:cfRule>
    <x:cfRule type="expression" dxfId="17" priority="3">
      <x:formula>F6="Por iniciar"</x:formula>
    </x:cfRule>
  </x:conditionalFormatting>
  <x:dataValidations count="2">
    <x:dataValidation type="list" sqref="E6:E27">
      <x:formula1>"Ivan Tamayo,Rodrigo Romero,Richard Diaz,Por definir"</x:formula1>
    </x:dataValidation>
    <x:dataValidation type="list" sqref="F6:F27">
      <x:formula1>"Por iniciar,En proceso,Hecho"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2 | Semanas 7–8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4</x:v>
      </x:c>
      <x:c r="C3" s="17" t="str">
        <x:v>Story Points: 29</x:v>
      </x:c>
      <x:c r="D3" s="17" t="str">
        <x:v>Tareas: 23</x:v>
      </x:c>
      <x:c r="E3" s="17" t="str">
        <x:v>Horas estimadas: 116</x:v>
      </x:c>
      <x:c r="F3" s="17" t="str">
        <x:v>Estado: Por iniciar</x:v>
      </x:c>
      <x:c r="G3" s="17" t="str">
        <x:v>Asignación inicial por rol</x:v>
      </x:c>
    </x:row>
    <x:row r="4" ht="28" customHeight="1"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Product Backlog</x:v>
      </x:c>
      <x:c r="C5" s="34" t="str">
        <x:v>Enunciado del Product Backlog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54" hidden="0" customHeight="1">
      <x:c r="B6" s="63" t="str">
        <x:v>HU-05</x:v>
      </x:c>
      <x:c r="C6" s="63" t="str">
        <x:v>Como usuario autorizado de gestión, quiero registrar a los integrantes previamente definidos de la directiva, asignar cargos y administrar roles o estados de usuario, para mantener los accesos y responsabilidades correctamente configurados sin realizar votaciones electrónicas.</x:v>
      </x:c>
      <x:c r="D6" s="64" t="str">
        <x:v>Modelar directiva, cargos, roles y estados de usuario</x:v>
      </x:c>
      <x:c r="E6" s="65" t="str">
        <x:v>Ivan Tamayo</x:v>
      </x:c>
      <x:c r="F6" s="65" t="str">
        <x:v>Por iniciar</x:v>
      </x:c>
      <x:c r="G6" s="65" t="n">
        <x:v>5</x:v>
      </x:c>
      <x:c r="H6" s="65" t="n">
        <x:v>0</x:v>
      </x:c>
      <x:c r="I6" s="65" t="n">
        <x:f>G6-H6</x:f>
        <x:v>5</x:v>
      </x:c>
      <x:c r="J6" s="65" t="n">
        <x:v>0</x:v>
      </x:c>
      <x:c r="K6" s="65" t="n">
        <x:f>I6-J6</x:f>
        <x:v>5</x:v>
      </x:c>
      <x:c r="L6" s="65" t="n">
        <x:v>0</x:v>
      </x:c>
      <x:c r="M6" s="65" t="n">
        <x:f>K6-L6</x:f>
        <x:v>5</x:v>
      </x:c>
      <x:c r="N6" s="65" t="n">
        <x:v>0</x:v>
      </x:c>
      <x:c r="O6" s="65" t="n">
        <x:f>M6-N6</x:f>
        <x:v>5</x:v>
      </x:c>
      <x:c r="P6" s="65" t="n">
        <x:v>0</x:v>
      </x:c>
      <x:c r="Q6" s="65" t="n">
        <x:f>O6-P6</x:f>
        <x:v>5</x:v>
      </x:c>
      <x:c r="R6" s="65" t="n">
        <x:v>0</x:v>
      </x:c>
      <x:c r="S6" s="65" t="n">
        <x:f>Q6-R6</x:f>
        <x:v>5</x:v>
      </x:c>
      <x:c r="T6" s="65" t="n">
        <x:v>0</x:v>
      </x:c>
      <x:c r="U6" s="65" t="n">
        <x:f>S6-T6</x:f>
        <x:v>5</x:v>
      </x:c>
      <x:c r="V6" s="65" t="n">
        <x:v>0</x:v>
      </x:c>
      <x:c r="W6" s="65" t="n">
        <x:f>U6-V6</x:f>
        <x:v>5</x:v>
      </x:c>
      <x:c r="X6" s="65" t="n">
        <x:v>0</x:v>
      </x:c>
      <x:c r="Y6" s="65" t="n">
        <x:f>W6-X6</x:f>
        <x:v>5</x:v>
      </x:c>
      <x:c r="Z6" s="65" t="n">
        <x:v>0</x:v>
      </x:c>
      <x:c r="AA6" s="65" t="n">
        <x:f>Y6-Z6</x:f>
        <x:v>5</x:v>
      </x:c>
      <x:c r="AB6" s="65" t="n">
        <x:f>SUM(H6,J6,L6,N6,P6,R6,T6,V6,X6,Z6)</x:f>
        <x:v>0</x:v>
      </x:c>
      <x:c r="AC6" s="65" t="n">
        <x:f>AA6</x:f>
        <x:v>5</x:v>
      </x:c>
    </x:row>
    <x:row r="7" ht="21.600000381469727" hidden="0" customHeight="1">
      <x:c r="B7" s="64" t="str"/>
      <x:c r="C7" s="64" t="str"/>
      <x:c r="D7" s="64" t="str">
        <x:v>Implementar servicios y endpoints de gestión de cargos, roles y estados</x:v>
      </x:c>
      <x:c r="E7" s="65" t="str">
        <x:v>Ivan Tamayo</x:v>
      </x:c>
      <x:c r="F7" s="65" t="str">
        <x:v>Por iniciar</x:v>
      </x:c>
      <x:c r="G7" s="65" t="n">
        <x:v>6</x:v>
      </x:c>
      <x:c r="H7" s="65" t="n">
        <x:v>0</x:v>
      </x:c>
      <x:c r="I7" s="65" t="n">
        <x:f>G7-H7</x:f>
        <x:v>6</x:v>
      </x:c>
      <x:c r="J7" s="65" t="n">
        <x:v>0</x:v>
      </x:c>
      <x:c r="K7" s="65" t="n">
        <x:f>I7-J7</x:f>
        <x:v>6</x:v>
      </x:c>
      <x:c r="L7" s="65" t="n">
        <x:v>0</x:v>
      </x:c>
      <x:c r="M7" s="65" t="n">
        <x:f>K7-L7</x:f>
        <x:v>6</x:v>
      </x:c>
      <x:c r="N7" s="65" t="n">
        <x:v>0</x:v>
      </x:c>
      <x:c r="O7" s="65" t="n">
        <x:f>M7-N7</x:f>
        <x:v>6</x:v>
      </x:c>
      <x:c r="P7" s="65" t="n">
        <x:v>0</x:v>
      </x:c>
      <x:c r="Q7" s="65" t="n">
        <x:f>O7-P7</x:f>
        <x:v>6</x:v>
      </x:c>
      <x:c r="R7" s="65" t="n">
        <x:v>0</x:v>
      </x:c>
      <x:c r="S7" s="65" t="n">
        <x:f>Q7-R7</x:f>
        <x:v>6</x:v>
      </x:c>
      <x:c r="T7" s="65" t="n">
        <x:v>0</x:v>
      </x:c>
      <x:c r="U7" s="65" t="n">
        <x:f>S7-T7</x:f>
        <x:v>6</x:v>
      </x:c>
      <x:c r="V7" s="65" t="n">
        <x:v>0</x:v>
      </x:c>
      <x:c r="W7" s="65" t="n">
        <x:f>U7-V7</x:f>
        <x:v>6</x:v>
      </x:c>
      <x:c r="X7" s="65" t="n">
        <x:v>0</x:v>
      </x:c>
      <x:c r="Y7" s="65" t="n">
        <x:f>W7-X7</x:f>
        <x:v>6</x:v>
      </x:c>
      <x:c r="Z7" s="65" t="n">
        <x:v>0</x:v>
      </x:c>
      <x:c r="AA7" s="65" t="n">
        <x:f>Y7-Z7</x:f>
        <x:v>6</x:v>
      </x:c>
      <x:c r="AB7" s="65" t="n">
        <x:f>SUM(H7,J7,L7,N7,P7,R7,T7,V7,X7,Z7)</x:f>
        <x:v>0</x:v>
      </x:c>
      <x:c r="AC7" s="65" t="n">
        <x:f>AA7</x:f>
        <x:v>6</x:v>
      </x:c>
    </x:row>
    <x:row r="8" ht="21.600000381469727" hidden="0" customHeight="1">
      <x:c r="B8" s="64" t="str"/>
      <x:c r="C8" s="64" t="str"/>
      <x:c r="D8" s="64" t="str">
        <x:v>Diseñar e implementar pantallas de gestión de directiva y usuarios</x:v>
      </x:c>
      <x:c r="E8" s="65" t="str">
        <x:v>Rodrigo Romero</x:v>
      </x:c>
      <x:c r="F8" s="65" t="str">
        <x:v>Por iniciar</x:v>
      </x:c>
      <x:c r="G8" s="65" t="n">
        <x:v>7</x:v>
      </x:c>
      <x:c r="H8" s="65" t="n">
        <x:v>0</x:v>
      </x:c>
      <x:c r="I8" s="65" t="n">
        <x:f>G8-H8</x:f>
        <x:v>7</x:v>
      </x:c>
      <x:c r="J8" s="65" t="n">
        <x:v>0</x:v>
      </x:c>
      <x:c r="K8" s="65" t="n">
        <x:f>I8-J8</x:f>
        <x:v>7</x:v>
      </x:c>
      <x:c r="L8" s="65" t="n">
        <x:v>0</x:v>
      </x:c>
      <x:c r="M8" s="65" t="n">
        <x:f>K8-L8</x:f>
        <x:v>7</x:v>
      </x:c>
      <x:c r="N8" s="65" t="n">
        <x:v>0</x:v>
      </x:c>
      <x:c r="O8" s="65" t="n">
        <x:f>M8-N8</x:f>
        <x:v>7</x:v>
      </x:c>
      <x:c r="P8" s="65" t="n">
        <x:v>0</x:v>
      </x:c>
      <x:c r="Q8" s="65" t="n">
        <x:f>O8-P8</x:f>
        <x:v>7</x:v>
      </x:c>
      <x:c r="R8" s="65" t="n">
        <x:v>0</x:v>
      </x:c>
      <x:c r="S8" s="65" t="n">
        <x:f>Q8-R8</x:f>
        <x:v>7</x:v>
      </x:c>
      <x:c r="T8" s="65" t="n">
        <x:v>0</x:v>
      </x:c>
      <x:c r="U8" s="65" t="n">
        <x:f>S8-T8</x:f>
        <x:v>7</x:v>
      </x:c>
      <x:c r="V8" s="65" t="n">
        <x:v>0</x:v>
      </x:c>
      <x:c r="W8" s="65" t="n">
        <x:f>U8-V8</x:f>
        <x:v>7</x:v>
      </x:c>
      <x:c r="X8" s="65" t="n">
        <x:v>0</x:v>
      </x:c>
      <x:c r="Y8" s="65" t="n">
        <x:f>W8-X8</x:f>
        <x:v>7</x:v>
      </x:c>
      <x:c r="Z8" s="65" t="n">
        <x:v>0</x:v>
      </x:c>
      <x:c r="AA8" s="65" t="n">
        <x:f>Y8-Z8</x:f>
        <x:v>7</x:v>
      </x:c>
      <x:c r="AB8" s="65" t="n">
        <x:f>SUM(H8,J8,L8,N8,P8,R8,T8,V8,X8,Z8)</x:f>
        <x:v>0</x:v>
      </x:c>
      <x:c r="AC8" s="65" t="n">
        <x:f>AA8</x:f>
        <x:v>7</x:v>
      </x:c>
    </x:row>
    <x:row r="9" ht="15" hidden="0" customHeight="1">
      <x:c r="B9" s="64" t="str"/>
      <x:c r="C9" s="64" t="str"/>
      <x:c r="D9" s="64" t="str">
        <x:v>Implementar vista de consulta de la directiva vigente</x:v>
      </x:c>
      <x:c r="E9" s="65" t="str">
        <x:v>Rodrigo Romero</x:v>
      </x:c>
      <x:c r="F9" s="65" t="str">
        <x:v>Por iniciar</x:v>
      </x:c>
      <x:c r="G9" s="65" t="n">
        <x:v>4</x:v>
      </x:c>
      <x:c r="H9" s="65" t="n">
        <x:v>0</x:v>
      </x:c>
      <x:c r="I9" s="65" t="n">
        <x:f>G9-H9</x:f>
        <x:v>4</x:v>
      </x:c>
      <x:c r="J9" s="65" t="n">
        <x:v>0</x:v>
      </x:c>
      <x:c r="K9" s="65" t="n">
        <x:f>I9-J9</x:f>
        <x:v>4</x:v>
      </x:c>
      <x:c r="L9" s="65" t="n">
        <x:v>0</x:v>
      </x:c>
      <x:c r="M9" s="65" t="n">
        <x:f>K9-L9</x:f>
        <x:v>4</x:v>
      </x:c>
      <x:c r="N9" s="65" t="n">
        <x:v>0</x:v>
      </x:c>
      <x:c r="O9" s="65" t="n">
        <x:f>M9-N9</x:f>
        <x:v>4</x:v>
      </x:c>
      <x:c r="P9" s="65" t="n">
        <x:v>0</x:v>
      </x:c>
      <x:c r="Q9" s="65" t="n">
        <x:f>O9-P9</x:f>
        <x:v>4</x:v>
      </x:c>
      <x:c r="R9" s="65" t="n">
        <x:v>0</x:v>
      </x:c>
      <x:c r="S9" s="65" t="n">
        <x:f>Q9-R9</x:f>
        <x:v>4</x:v>
      </x:c>
      <x:c r="T9" s="65" t="n">
        <x:v>0</x:v>
      </x:c>
      <x:c r="U9" s="65" t="n">
        <x:f>S9-T9</x:f>
        <x:v>4</x:v>
      </x:c>
      <x:c r="V9" s="65" t="n">
        <x:v>0</x:v>
      </x:c>
      <x:c r="W9" s="65" t="n">
        <x:f>U9-V9</x:f>
        <x:v>4</x:v>
      </x:c>
      <x:c r="X9" s="65" t="n">
        <x:v>0</x:v>
      </x:c>
      <x:c r="Y9" s="65" t="n">
        <x:f>W9-X9</x:f>
        <x:v>4</x:v>
      </x:c>
      <x:c r="Z9" s="65" t="n">
        <x:v>0</x:v>
      </x:c>
      <x:c r="AA9" s="65" t="n">
        <x:f>Y9-Z9</x:f>
        <x:v>4</x:v>
      </x:c>
      <x:c r="AB9" s="65" t="n">
        <x:f>SUM(H9,J9,L9,N9,P9,R9,T9,V9,X9,Z9)</x:f>
        <x:v>0</x:v>
      </x:c>
      <x:c r="AC9" s="65" t="n">
        <x:f>AA9</x:f>
        <x:v>4</x:v>
      </x:c>
    </x:row>
    <x:row r="10" ht="21.600000381469727" hidden="0" customHeight="1">
      <x:c r="B10" s="64" t="str"/>
      <x:c r="C10" s="64" t="str"/>
      <x:c r="D10" s="64" t="str">
        <x:v>Configurar y validar reglas de permisos asociadas a cargos y roles</x:v>
      </x:c>
      <x:c r="E10" s="65" t="str">
        <x:v>Ivan Tamayo</x:v>
      </x:c>
      <x:c r="F10" s="65" t="str">
        <x:v>Por iniciar</x:v>
      </x:c>
      <x:c r="G10" s="65" t="n">
        <x:v>4</x:v>
      </x:c>
      <x:c r="H10" s="65" t="n">
        <x:v>0</x:v>
      </x:c>
      <x:c r="I10" s="65" t="n">
        <x:f>G10-H10</x:f>
        <x:v>4</x:v>
      </x:c>
      <x:c r="J10" s="65" t="n">
        <x:v>0</x:v>
      </x:c>
      <x:c r="K10" s="65" t="n">
        <x:f>I10-J10</x:f>
        <x:v>4</x:v>
      </x:c>
      <x:c r="L10" s="65" t="n">
        <x:v>0</x:v>
      </x:c>
      <x:c r="M10" s="65" t="n">
        <x:f>K10-L10</x:f>
        <x:v>4</x:v>
      </x:c>
      <x:c r="N10" s="65" t="n">
        <x:v>0</x:v>
      </x:c>
      <x:c r="O10" s="65" t="n">
        <x:f>M10-N10</x:f>
        <x:v>4</x:v>
      </x:c>
      <x:c r="P10" s="65" t="n">
        <x:v>0</x:v>
      </x:c>
      <x:c r="Q10" s="65" t="n">
        <x:f>O10-P10</x:f>
        <x:v>4</x:v>
      </x:c>
      <x:c r="R10" s="65" t="n">
        <x:v>0</x:v>
      </x:c>
      <x:c r="S10" s="65" t="n">
        <x:f>Q10-R10</x:f>
        <x:v>4</x:v>
      </x:c>
      <x:c r="T10" s="65" t="n">
        <x:v>0</x:v>
      </x:c>
      <x:c r="U10" s="65" t="n">
        <x:f>S10-T10</x:f>
        <x:v>4</x:v>
      </x:c>
      <x:c r="V10" s="65" t="n">
        <x:v>0</x:v>
      </x:c>
      <x:c r="W10" s="65" t="n">
        <x:f>U10-V10</x:f>
        <x:v>4</x:v>
      </x:c>
      <x:c r="X10" s="65" t="n">
        <x:v>0</x:v>
      </x:c>
      <x:c r="Y10" s="65" t="n">
        <x:f>W10-X10</x:f>
        <x:v>4</x:v>
      </x:c>
      <x:c r="Z10" s="65" t="n">
        <x:v>0</x:v>
      </x:c>
      <x:c r="AA10" s="65" t="n">
        <x:f>Y10-Z10</x:f>
        <x:v>4</x:v>
      </x:c>
      <x:c r="AB10" s="65" t="n">
        <x:f>SUM(H10,J10,L10,N10,P10,R10,T10,V10,X10,Z10)</x:f>
        <x:v>0</x:v>
      </x:c>
      <x:c r="AC10" s="65" t="n">
        <x:f>AA10</x:f>
        <x:v>4</x:v>
      </x:c>
    </x:row>
    <x:row r="11" ht="15" hidden="0" customHeight="1">
      <x:c r="B11" s="64" t="str"/>
      <x:c r="C11" s="64" t="str"/>
      <x:c r="D11" s="64" t="str">
        <x:v>Ejecutar pruebas de autorización, cambios de cargo y estados</x:v>
      </x:c>
      <x:c r="E11" s="65" t="str">
        <x:v>Richard Diaz</x:v>
      </x:c>
      <x:c r="F11" s="65" t="str">
        <x:v>Por iniciar</x:v>
      </x:c>
      <x:c r="G11" s="65" t="n">
        <x:v>6</x:v>
      </x:c>
      <x:c r="H11" s="65" t="n">
        <x:v>0</x:v>
      </x:c>
      <x:c r="I11" s="65" t="n">
        <x:f>G11-H11</x:f>
        <x:v>6</x:v>
      </x:c>
      <x:c r="J11" s="65" t="n">
        <x:v>0</x:v>
      </x:c>
      <x:c r="K11" s="65" t="n">
        <x:f>I11-J11</x:f>
        <x:v>6</x:v>
      </x:c>
      <x:c r="L11" s="65" t="n">
        <x:v>0</x:v>
      </x:c>
      <x:c r="M11" s="65" t="n">
        <x:f>K11-L11</x:f>
        <x:v>6</x:v>
      </x:c>
      <x:c r="N11" s="65" t="n">
        <x:v>0</x:v>
      </x:c>
      <x:c r="O11" s="65" t="n">
        <x:f>M11-N11</x:f>
        <x:v>6</x:v>
      </x:c>
      <x:c r="P11" s="65" t="n">
        <x:v>0</x:v>
      </x:c>
      <x:c r="Q11" s="65" t="n">
        <x:f>O11-P11</x:f>
        <x:v>6</x:v>
      </x:c>
      <x:c r="R11" s="65" t="n">
        <x:v>0</x:v>
      </x:c>
      <x:c r="S11" s="65" t="n">
        <x:f>Q11-R11</x:f>
        <x:v>6</x:v>
      </x:c>
      <x:c r="T11" s="65" t="n">
        <x:v>0</x:v>
      </x:c>
      <x:c r="U11" s="65" t="n">
        <x:f>S11-T11</x:f>
        <x:v>6</x:v>
      </x:c>
      <x:c r="V11" s="65" t="n">
        <x:v>0</x:v>
      </x:c>
      <x:c r="W11" s="65" t="n">
        <x:f>U11-V11</x:f>
        <x:v>6</x:v>
      </x:c>
      <x:c r="X11" s="65" t="n">
        <x:v>0</x:v>
      </x:c>
      <x:c r="Y11" s="65" t="n">
        <x:f>W11-X11</x:f>
        <x:v>6</x:v>
      </x:c>
      <x:c r="Z11" s="65" t="n">
        <x:v>0</x:v>
      </x:c>
      <x:c r="AA11" s="65" t="n">
        <x:f>Y11-Z11</x:f>
        <x:v>6</x:v>
      </x:c>
      <x:c r="AB11" s="65" t="n">
        <x:f>SUM(H11,J11,L11,N11,P11,R11,T11,V11,X11,Z11)</x:f>
        <x:v>0</x:v>
      </x:c>
      <x:c r="AC11" s="65" t="n">
        <x:f>AA11</x:f>
        <x:v>6</x:v>
      </x:c>
    </x:row>
    <x:row r="12" ht="43.20000076293945" hidden="0" customHeight="1">
      <x:c r="B12" s="63" t="str">
        <x:v>HU-06</x:v>
      </x:c>
      <x:c r="C12" s="63" t="str">
        <x:v>Como integrante de la directiva, quiero publicar comunicados con archivos adjuntos y enviar alertas a la comunidad, para que los vecinos puedan consultar información vigente y recibir avisos relevantes.</x:v>
      </x:c>
      <x:c r="D12" s="64" t="str">
        <x:v>Implementar modelo y API de publicaciones con almacenamiento local de archivos</x:v>
      </x:c>
      <x:c r="E12" s="65" t="str">
        <x:v>Ivan Tamayo</x:v>
      </x:c>
      <x:c r="F12" s="65" t="str">
        <x:v>Por iniciar</x:v>
      </x:c>
      <x:c r="G12" s="65" t="n">
        <x:v>7</x:v>
      </x:c>
      <x:c r="H12" s="65" t="n">
        <x:v>0</x:v>
      </x:c>
      <x:c r="I12" s="65" t="n">
        <x:f>G12-H12</x:f>
        <x:v>7</x:v>
      </x:c>
      <x:c r="J12" s="65" t="n">
        <x:v>0</x:v>
      </x:c>
      <x:c r="K12" s="65" t="n">
        <x:f>I12-J12</x:f>
        <x:v>7</x:v>
      </x:c>
      <x:c r="L12" s="65" t="n">
        <x:v>0</x:v>
      </x:c>
      <x:c r="M12" s="65" t="n">
        <x:f>K12-L12</x:f>
        <x:v>7</x:v>
      </x:c>
      <x:c r="N12" s="65" t="n">
        <x:v>0</x:v>
      </x:c>
      <x:c r="O12" s="65" t="n">
        <x:f>M12-N12</x:f>
        <x:v>7</x:v>
      </x:c>
      <x:c r="P12" s="65" t="n">
        <x:v>0</x:v>
      </x:c>
      <x:c r="Q12" s="65" t="n">
        <x:f>O12-P12</x:f>
        <x:v>7</x:v>
      </x:c>
      <x:c r="R12" s="65" t="n">
        <x:v>0</x:v>
      </x:c>
      <x:c r="S12" s="65" t="n">
        <x:f>Q12-R12</x:f>
        <x:v>7</x:v>
      </x:c>
      <x:c r="T12" s="65" t="n">
        <x:v>0</x:v>
      </x:c>
      <x:c r="U12" s="65" t="n">
        <x:f>S12-T12</x:f>
        <x:v>7</x:v>
      </x:c>
      <x:c r="V12" s="65" t="n">
        <x:v>0</x:v>
      </x:c>
      <x:c r="W12" s="65" t="n">
        <x:f>U12-V12</x:f>
        <x:v>7</x:v>
      </x:c>
      <x:c r="X12" s="65" t="n">
        <x:v>0</x:v>
      </x:c>
      <x:c r="Y12" s="65" t="n">
        <x:f>W12-X12</x:f>
        <x:v>7</x:v>
      </x:c>
      <x:c r="Z12" s="65" t="n">
        <x:v>0</x:v>
      </x:c>
      <x:c r="AA12" s="65" t="n">
        <x:f>Y12-Z12</x:f>
        <x:v>7</x:v>
      </x:c>
      <x:c r="AB12" s="65" t="n">
        <x:f>SUM(H12,J12,L12,N12,P12,R12,T12,V12,X12,Z12)</x:f>
        <x:v>0</x:v>
      </x:c>
      <x:c r="AC12" s="65" t="n">
        <x:f>AA12</x:f>
        <x:v>7</x:v>
      </x:c>
    </x:row>
    <x:row r="13" ht="15" hidden="0" customHeight="1">
      <x:c r="B13" s="64" t="str"/>
      <x:c r="C13" s="64" t="str"/>
      <x:c r="D13" s="64" t="str">
        <x:v>Implementar modelo y servicio de notificaciones internas</x:v>
      </x:c>
      <x:c r="E13" s="65" t="str">
        <x:v>Ivan Tamayo</x:v>
      </x:c>
      <x:c r="F13" s="65" t="str">
        <x:v>Por iniciar</x:v>
      </x:c>
      <x:c r="G13" s="65" t="n">
        <x:v>5</x:v>
      </x:c>
      <x:c r="H13" s="65" t="n">
        <x:v>0</x:v>
      </x:c>
      <x:c r="I13" s="65" t="n">
        <x:f>G13-H13</x:f>
        <x:v>5</x:v>
      </x:c>
      <x:c r="J13" s="65" t="n">
        <x:v>0</x:v>
      </x:c>
      <x:c r="K13" s="65" t="n">
        <x:f>I13-J13</x:f>
        <x:v>5</x:v>
      </x:c>
      <x:c r="L13" s="65" t="n">
        <x:v>0</x:v>
      </x:c>
      <x:c r="M13" s="65" t="n">
        <x:f>K13-L13</x:f>
        <x:v>5</x:v>
      </x:c>
      <x:c r="N13" s="65" t="n">
        <x:v>0</x:v>
      </x:c>
      <x:c r="O13" s="65" t="n">
        <x:f>M13-N13</x:f>
        <x:v>5</x:v>
      </x:c>
      <x:c r="P13" s="65" t="n">
        <x:v>0</x:v>
      </x:c>
      <x:c r="Q13" s="65" t="n">
        <x:f>O13-P13</x:f>
        <x:v>5</x:v>
      </x:c>
      <x:c r="R13" s="65" t="n">
        <x:v>0</x:v>
      </x:c>
      <x:c r="S13" s="65" t="n">
        <x:f>Q13-R13</x:f>
        <x:v>5</x:v>
      </x:c>
      <x:c r="T13" s="65" t="n">
        <x:v>0</x:v>
      </x:c>
      <x:c r="U13" s="65" t="n">
        <x:f>S13-T13</x:f>
        <x:v>5</x:v>
      </x:c>
      <x:c r="V13" s="65" t="n">
        <x:v>0</x:v>
      </x:c>
      <x:c r="W13" s="65" t="n">
        <x:f>U13-V13</x:f>
        <x:v>5</x:v>
      </x:c>
      <x:c r="X13" s="65" t="n">
        <x:v>0</x:v>
      </x:c>
      <x:c r="Y13" s="65" t="n">
        <x:f>W13-X13</x:f>
        <x:v>5</x:v>
      </x:c>
      <x:c r="Z13" s="65" t="n">
        <x:v>0</x:v>
      </x:c>
      <x:c r="AA13" s="65" t="n">
        <x:f>Y13-Z13</x:f>
        <x:v>5</x:v>
      </x:c>
      <x:c r="AB13" s="65" t="n">
        <x:f>SUM(H13,J13,L13,N13,P13,R13,T13,V13,X13,Z13)</x:f>
        <x:v>0</x:v>
      </x:c>
      <x:c r="AC13" s="65" t="n">
        <x:f>AA13</x:f>
        <x:v>5</x:v>
      </x:c>
    </x:row>
    <x:row r="14" ht="21.600000381469727" hidden="0" customHeight="1">
      <x:c r="B14" s="64" t="str"/>
      <x:c r="C14" s="64" t="str"/>
      <x:c r="D14" s="64" t="str">
        <x:v>Diseñar e implementar editor, listado y detalle de publicaciones</x:v>
      </x:c>
      <x:c r="E14" s="65" t="str">
        <x:v>Rodrigo Romero</x:v>
      </x:c>
      <x:c r="F14" s="65" t="str">
        <x:v>Por iniciar</x:v>
      </x:c>
      <x:c r="G14" s="65" t="n">
        <x:v>7</x:v>
      </x:c>
      <x:c r="H14" s="65" t="n">
        <x:v>0</x:v>
      </x:c>
      <x:c r="I14" s="65" t="n">
        <x:f>G14-H14</x:f>
        <x:v>7</x:v>
      </x:c>
      <x:c r="J14" s="65" t="n">
        <x:v>0</x:v>
      </x:c>
      <x:c r="K14" s="65" t="n">
        <x:f>I14-J14</x:f>
        <x:v>7</x:v>
      </x:c>
      <x:c r="L14" s="65" t="n">
        <x:v>0</x:v>
      </x:c>
      <x:c r="M14" s="65" t="n">
        <x:f>K14-L14</x:f>
        <x:v>7</x:v>
      </x:c>
      <x:c r="N14" s="65" t="n">
        <x:v>0</x:v>
      </x:c>
      <x:c r="O14" s="65" t="n">
        <x:f>M14-N14</x:f>
        <x:v>7</x:v>
      </x:c>
      <x:c r="P14" s="65" t="n">
        <x:v>0</x:v>
      </x:c>
      <x:c r="Q14" s="65" t="n">
        <x:f>O14-P14</x:f>
        <x:v>7</x:v>
      </x:c>
      <x:c r="R14" s="65" t="n">
        <x:v>0</x:v>
      </x:c>
      <x:c r="S14" s="65" t="n">
        <x:f>Q14-R14</x:f>
        <x:v>7</x:v>
      </x:c>
      <x:c r="T14" s="65" t="n">
        <x:v>0</x:v>
      </x:c>
      <x:c r="U14" s="65" t="n">
        <x:f>S14-T14</x:f>
        <x:v>7</x:v>
      </x:c>
      <x:c r="V14" s="65" t="n">
        <x:v>0</x:v>
      </x:c>
      <x:c r="W14" s="65" t="n">
        <x:f>U14-V14</x:f>
        <x:v>7</x:v>
      </x:c>
      <x:c r="X14" s="65" t="n">
        <x:v>0</x:v>
      </x:c>
      <x:c r="Y14" s="65" t="n">
        <x:f>W14-X14</x:f>
        <x:v>7</x:v>
      </x:c>
      <x:c r="Z14" s="65" t="n">
        <x:v>0</x:v>
      </x:c>
      <x:c r="AA14" s="65" t="n">
        <x:f>Y14-Z14</x:f>
        <x:v>7</x:v>
      </x:c>
      <x:c r="AB14" s="65" t="n">
        <x:f>SUM(H14,J14,L14,N14,P14,R14,T14,V14,X14,Z14)</x:f>
        <x:v>0</x:v>
      </x:c>
      <x:c r="AC14" s="65" t="n">
        <x:f>AA14</x:f>
        <x:v>7</x:v>
      </x:c>
    </x:row>
    <x:row r="15" ht="15" hidden="0" customHeight="1">
      <x:c r="B15" s="64" t="str"/>
      <x:c r="C15" s="64" t="str"/>
      <x:c r="D15" s="64" t="str">
        <x:v>Implementar adjuntos y visualización de alertas/notificaciones</x:v>
      </x:c>
      <x:c r="E15" s="65" t="str">
        <x:v>Rodrigo Romero</x:v>
      </x:c>
      <x:c r="F15" s="65" t="str">
        <x:v>Por iniciar</x:v>
      </x:c>
      <x:c r="G15" s="65" t="n">
        <x:v>5</x:v>
      </x:c>
      <x:c r="H15" s="65" t="n">
        <x:v>0</x:v>
      </x:c>
      <x:c r="I15" s="65" t="n">
        <x:f>G15-H15</x:f>
        <x:v>5</x:v>
      </x:c>
      <x:c r="J15" s="65" t="n">
        <x:v>0</x:v>
      </x:c>
      <x:c r="K15" s="65" t="n">
        <x:f>I15-J15</x:f>
        <x:v>5</x:v>
      </x:c>
      <x:c r="L15" s="65" t="n">
        <x:v>0</x:v>
      </x:c>
      <x:c r="M15" s="65" t="n">
        <x:f>K15-L15</x:f>
        <x:v>5</x:v>
      </x:c>
      <x:c r="N15" s="65" t="n">
        <x:v>0</x:v>
      </x:c>
      <x:c r="O15" s="65" t="n">
        <x:f>M15-N15</x:f>
        <x:v>5</x:v>
      </x:c>
      <x:c r="P15" s="65" t="n">
        <x:v>0</x:v>
      </x:c>
      <x:c r="Q15" s="65" t="n">
        <x:f>O15-P15</x:f>
        <x:v>5</x:v>
      </x:c>
      <x:c r="R15" s="65" t="n">
        <x:v>0</x:v>
      </x:c>
      <x:c r="S15" s="65" t="n">
        <x:f>Q15-R15</x:f>
        <x:v>5</x:v>
      </x:c>
      <x:c r="T15" s="65" t="n">
        <x:v>0</x:v>
      </x:c>
      <x:c r="U15" s="65" t="n">
        <x:f>S15-T15</x:f>
        <x:v>5</x:v>
      </x:c>
      <x:c r="V15" s="65" t="n">
        <x:v>0</x:v>
      </x:c>
      <x:c r="W15" s="65" t="n">
        <x:f>U15-V15</x:f>
        <x:v>5</x:v>
      </x:c>
      <x:c r="X15" s="65" t="n">
        <x:v>0</x:v>
      </x:c>
      <x:c r="Y15" s="65" t="n">
        <x:f>W15-X15</x:f>
        <x:v>5</x:v>
      </x:c>
      <x:c r="Z15" s="65" t="n">
        <x:v>0</x:v>
      </x:c>
      <x:c r="AA15" s="65" t="n">
        <x:f>Y15-Z15</x:f>
        <x:v>5</x:v>
      </x:c>
      <x:c r="AB15" s="65" t="n">
        <x:f>SUM(H15,J15,L15,N15,P15,R15,T15,V15,X15,Z15)</x:f>
        <x:v>0</x:v>
      </x:c>
      <x:c r="AC15" s="65" t="n">
        <x:f>AA15</x:f>
        <x:v>5</x:v>
      </x:c>
    </x:row>
    <x:row r="16" ht="15" hidden="0" customHeight="1">
      <x:c r="B16" s="64" t="str"/>
      <x:c r="C16" s="64" t="str"/>
      <x:c r="D16" s="64" t="str">
        <x:v>Validar permisos, tipos de archivo y datos obligatorios</x:v>
      </x:c>
      <x:c r="E16" s="65" t="str">
        <x:v>Richard Diaz</x:v>
      </x:c>
      <x:c r="F16" s="65" t="str">
        <x:v>Por iniciar</x:v>
      </x:c>
      <x:c r="G16" s="65" t="n">
        <x:v>4</x:v>
      </x:c>
      <x:c r="H16" s="65" t="n">
        <x:v>0</x:v>
      </x:c>
      <x:c r="I16" s="65" t="n">
        <x:f>G16-H16</x:f>
        <x:v>4</x:v>
      </x:c>
      <x:c r="J16" s="65" t="n">
        <x:v>0</x:v>
      </x:c>
      <x:c r="K16" s="65" t="n">
        <x:f>I16-J16</x:f>
        <x:v>4</x:v>
      </x:c>
      <x:c r="L16" s="65" t="n">
        <x:v>0</x:v>
      </x:c>
      <x:c r="M16" s="65" t="n">
        <x:f>K16-L16</x:f>
        <x:v>4</x:v>
      </x:c>
      <x:c r="N16" s="65" t="n">
        <x:v>0</x:v>
      </x:c>
      <x:c r="O16" s="65" t="n">
        <x:f>M16-N16</x:f>
        <x:v>4</x:v>
      </x:c>
      <x:c r="P16" s="65" t="n">
        <x:v>0</x:v>
      </x:c>
      <x:c r="Q16" s="65" t="n">
        <x:f>O16-P16</x:f>
        <x:v>4</x:v>
      </x:c>
      <x:c r="R16" s="65" t="n">
        <x:v>0</x:v>
      </x:c>
      <x:c r="S16" s="65" t="n">
        <x:f>Q16-R16</x:f>
        <x:v>4</x:v>
      </x:c>
      <x:c r="T16" s="65" t="n">
        <x:v>0</x:v>
      </x:c>
      <x:c r="U16" s="65" t="n">
        <x:f>S16-T16</x:f>
        <x:v>4</x:v>
      </x:c>
      <x:c r="V16" s="65" t="n">
        <x:v>0</x:v>
      </x:c>
      <x:c r="W16" s="65" t="n">
        <x:f>U16-V16</x:f>
        <x:v>4</x:v>
      </x:c>
      <x:c r="X16" s="65" t="n">
        <x:v>0</x:v>
      </x:c>
      <x:c r="Y16" s="65" t="n">
        <x:f>W16-X16</x:f>
        <x:v>4</x:v>
      </x:c>
      <x:c r="Z16" s="65" t="n">
        <x:v>0</x:v>
      </x:c>
      <x:c r="AA16" s="65" t="n">
        <x:f>Y16-Z16</x:f>
        <x:v>4</x:v>
      </x:c>
      <x:c r="AB16" s="65" t="n">
        <x:f>SUM(H16,J16,L16,N16,P16,R16,T16,V16,X16,Z16)</x:f>
        <x:v>0</x:v>
      </x:c>
      <x:c r="AC16" s="65" t="n">
        <x:f>AA16</x:f>
        <x:v>4</x:v>
      </x:c>
    </x:row>
    <x:row r="17" ht="21.600000381469727" hidden="0" customHeight="1">
      <x:c r="B17" s="64" t="str"/>
      <x:c r="C17" s="64" t="str"/>
      <x:c r="D17" s="64" t="str">
        <x:v>Ejecutar pruebas funcionales de publicaciones, adjuntos y alertas</x:v>
      </x:c>
      <x:c r="E17" s="65" t="str">
        <x:v>Richard Diaz</x:v>
      </x:c>
      <x:c r="F17" s="65" t="str">
        <x:v>Por iniciar</x:v>
      </x:c>
      <x:c r="G17" s="65" t="n">
        <x:v>4</x:v>
      </x:c>
      <x:c r="H17" s="65" t="n">
        <x:v>0</x:v>
      </x:c>
      <x:c r="I17" s="65" t="n">
        <x:f>G17-H17</x:f>
        <x:v>4</x:v>
      </x:c>
      <x:c r="J17" s="65" t="n">
        <x:v>0</x:v>
      </x:c>
      <x:c r="K17" s="65" t="n">
        <x:f>I17-J17</x:f>
        <x:v>4</x:v>
      </x:c>
      <x:c r="L17" s="65" t="n">
        <x:v>0</x:v>
      </x:c>
      <x:c r="M17" s="65" t="n">
        <x:f>K17-L17</x:f>
        <x:v>4</x:v>
      </x:c>
      <x:c r="N17" s="65" t="n">
        <x:v>0</x:v>
      </x:c>
      <x:c r="O17" s="65" t="n">
        <x:f>M17-N17</x:f>
        <x:v>4</x:v>
      </x:c>
      <x:c r="P17" s="65" t="n">
        <x:v>0</x:v>
      </x:c>
      <x:c r="Q17" s="65" t="n">
        <x:f>O17-P17</x:f>
        <x:v>4</x:v>
      </x:c>
      <x:c r="R17" s="65" t="n">
        <x:v>0</x:v>
      </x:c>
      <x:c r="S17" s="65" t="n">
        <x:f>Q17-R17</x:f>
        <x:v>4</x:v>
      </x:c>
      <x:c r="T17" s="65" t="n">
        <x:v>0</x:v>
      </x:c>
      <x:c r="U17" s="65" t="n">
        <x:f>S17-T17</x:f>
        <x:v>4</x:v>
      </x:c>
      <x:c r="V17" s="65" t="n">
        <x:v>0</x:v>
      </x:c>
      <x:c r="W17" s="65" t="n">
        <x:f>U17-V17</x:f>
        <x:v>4</x:v>
      </x:c>
      <x:c r="X17" s="65" t="n">
        <x:v>0</x:v>
      </x:c>
      <x:c r="Y17" s="65" t="n">
        <x:f>W17-X17</x:f>
        <x:v>4</x:v>
      </x:c>
      <x:c r="Z17" s="65" t="n">
        <x:v>0</x:v>
      </x:c>
      <x:c r="AA17" s="65" t="n">
        <x:f>Y17-Z17</x:f>
        <x:v>4</x:v>
      </x:c>
      <x:c r="AB17" s="65" t="n">
        <x:f>SUM(H17,J17,L17,N17,P17,R17,T17,V17,X17,Z17)</x:f>
        <x:v>0</x:v>
      </x:c>
      <x:c r="AC17" s="65" t="n">
        <x:f>AA17</x:f>
        <x:v>4</x:v>
      </x:c>
    </x:row>
    <x:row r="18" ht="32.400001525878906" hidden="0" customHeight="1">
      <x:c r="B18" s="63" t="str">
        <x:v>HU-07</x:v>
      </x:c>
      <x:c r="C18" s="63" t="str">
        <x:v>Como integrante de la directiva, quiero crear y gestionar actividades o eventos comunitarios, para que los vecinos puedan consultarlos y conocer cuándo y dónde se realizarán.</x:v>
      </x:c>
      <x:c r="D18" s="64" t="str">
        <x:v>Implementar modelo y API de actividades y eventos</x:v>
      </x:c>
      <x:c r="E18" s="65" t="str">
        <x:v>Ivan Tamayo</x:v>
      </x:c>
      <x:c r="F18" s="65" t="str">
        <x:v>Por iniciar</x:v>
      </x:c>
      <x:c r="G18" s="65" t="n">
        <x:v>7</x:v>
      </x:c>
      <x:c r="H18" s="65" t="n">
        <x:v>0</x:v>
      </x:c>
      <x:c r="I18" s="65" t="n">
        <x:f>G18-H18</x:f>
        <x:v>7</x:v>
      </x:c>
      <x:c r="J18" s="65" t="n">
        <x:v>0</x:v>
      </x:c>
      <x:c r="K18" s="65" t="n">
        <x:f>I18-J18</x:f>
        <x:v>7</x:v>
      </x:c>
      <x:c r="L18" s="65" t="n">
        <x:v>0</x:v>
      </x:c>
      <x:c r="M18" s="65" t="n">
        <x:f>K18-L18</x:f>
        <x:v>7</x:v>
      </x:c>
      <x:c r="N18" s="65" t="n">
        <x:v>0</x:v>
      </x:c>
      <x:c r="O18" s="65" t="n">
        <x:f>M18-N18</x:f>
        <x:v>7</x:v>
      </x:c>
      <x:c r="P18" s="65" t="n">
        <x:v>0</x:v>
      </x:c>
      <x:c r="Q18" s="65" t="n">
        <x:f>O18-P18</x:f>
        <x:v>7</x:v>
      </x:c>
      <x:c r="R18" s="65" t="n">
        <x:v>0</x:v>
      </x:c>
      <x:c r="S18" s="65" t="n">
        <x:f>Q18-R18</x:f>
        <x:v>7</x:v>
      </x:c>
      <x:c r="T18" s="65" t="n">
        <x:v>0</x:v>
      </x:c>
      <x:c r="U18" s="65" t="n">
        <x:f>S18-T18</x:f>
        <x:v>7</x:v>
      </x:c>
      <x:c r="V18" s="65" t="n">
        <x:v>0</x:v>
      </x:c>
      <x:c r="W18" s="65" t="n">
        <x:f>U18-V18</x:f>
        <x:v>7</x:v>
      </x:c>
      <x:c r="X18" s="65" t="n">
        <x:v>0</x:v>
      </x:c>
      <x:c r="Y18" s="65" t="n">
        <x:f>W18-X18</x:f>
        <x:v>7</x:v>
      </x:c>
      <x:c r="Z18" s="65" t="n">
        <x:v>0</x:v>
      </x:c>
      <x:c r="AA18" s="65" t="n">
        <x:f>Y18-Z18</x:f>
        <x:v>7</x:v>
      </x:c>
      <x:c r="AB18" s="65" t="n">
        <x:f>SUM(H18,J18,L18,N18,P18,R18,T18,V18,X18,Z18)</x:f>
        <x:v>0</x:v>
      </x:c>
      <x:c r="AC18" s="65" t="n">
        <x:f>AA18</x:f>
        <x:v>7</x:v>
      </x:c>
    </x:row>
    <x:row r="19" ht="15" hidden="0" customHeight="1">
      <x:c r="B19" s="64" t="str"/>
      <x:c r="C19" s="64" t="str"/>
      <x:c r="D19" s="64" t="str">
        <x:v>Implementar reglas de fecha, estado, aforo y cancelación</x:v>
      </x:c>
      <x:c r="E19" s="65" t="str">
        <x:v>Ivan Tamayo</x:v>
      </x:c>
      <x:c r="F19" s="65" t="str">
        <x:v>Por iniciar</x:v>
      </x:c>
      <x:c r="G19" s="65" t="n">
        <x:v>4</x:v>
      </x:c>
      <x:c r="H19" s="65" t="n">
        <x:v>0</x:v>
      </x:c>
      <x:c r="I19" s="65" t="n">
        <x:f>G19-H19</x:f>
        <x:v>4</x:v>
      </x:c>
      <x:c r="J19" s="65" t="n">
        <x:v>0</x:v>
      </x:c>
      <x:c r="K19" s="65" t="n">
        <x:f>I19-J19</x:f>
        <x:v>4</x:v>
      </x:c>
      <x:c r="L19" s="65" t="n">
        <x:v>0</x:v>
      </x:c>
      <x:c r="M19" s="65" t="n">
        <x:f>K19-L19</x:f>
        <x:v>4</x:v>
      </x:c>
      <x:c r="N19" s="65" t="n">
        <x:v>0</x:v>
      </x:c>
      <x:c r="O19" s="65" t="n">
        <x:f>M19-N19</x:f>
        <x:v>4</x:v>
      </x:c>
      <x:c r="P19" s="65" t="n">
        <x:v>0</x:v>
      </x:c>
      <x:c r="Q19" s="65" t="n">
        <x:f>O19-P19</x:f>
        <x:v>4</x:v>
      </x:c>
      <x:c r="R19" s="65" t="n">
        <x:v>0</x:v>
      </x:c>
      <x:c r="S19" s="65" t="n">
        <x:f>Q19-R19</x:f>
        <x:v>4</x:v>
      </x:c>
      <x:c r="T19" s="65" t="n">
        <x:v>0</x:v>
      </x:c>
      <x:c r="U19" s="65" t="n">
        <x:f>S19-T19</x:f>
        <x:v>4</x:v>
      </x:c>
      <x:c r="V19" s="65" t="n">
        <x:v>0</x:v>
      </x:c>
      <x:c r="W19" s="65" t="n">
        <x:f>U19-V19</x:f>
        <x:v>4</x:v>
      </x:c>
      <x:c r="X19" s="65" t="n">
        <x:v>0</x:v>
      </x:c>
      <x:c r="Y19" s="65" t="n">
        <x:f>W19-X19</x:f>
        <x:v>4</x:v>
      </x:c>
      <x:c r="Z19" s="65" t="n">
        <x:v>0</x:v>
      </x:c>
      <x:c r="AA19" s="65" t="n">
        <x:f>Y19-Z19</x:f>
        <x:v>4</x:v>
      </x:c>
      <x:c r="AB19" s="65" t="n">
        <x:f>SUM(H19,J19,L19,N19,P19,R19,T19,V19,X19,Z19)</x:f>
        <x:v>0</x:v>
      </x:c>
      <x:c r="AC19" s="65" t="n">
        <x:f>AA19</x:f>
        <x:v>4</x:v>
      </x:c>
    </x:row>
    <x:row r="20" ht="15" hidden="0" customHeight="1">
      <x:c r="B20" s="64" t="str"/>
      <x:c r="C20" s="64" t="str"/>
      <x:c r="D20" s="64" t="str">
        <x:v>Diseñar e implementar listado, detalle y formulario de eventos</x:v>
      </x:c>
      <x:c r="E20" s="65" t="str">
        <x:v>Rodrigo Romero</x:v>
      </x:c>
      <x:c r="F20" s="65" t="str">
        <x:v>Por iniciar</x:v>
      </x:c>
      <x:c r="G20" s="65" t="n">
        <x:v>8</x:v>
      </x:c>
      <x:c r="H20" s="65" t="n">
        <x:v>0</x:v>
      </x:c>
      <x:c r="I20" s="65" t="n">
        <x:f>G20-H20</x:f>
        <x:v>8</x:v>
      </x:c>
      <x:c r="J20" s="65" t="n">
        <x:v>0</x:v>
      </x:c>
      <x:c r="K20" s="65" t="n">
        <x:f>I20-J20</x:f>
        <x:v>8</x:v>
      </x:c>
      <x:c r="L20" s="65" t="n">
        <x:v>0</x:v>
      </x:c>
      <x:c r="M20" s="65" t="n">
        <x:f>K20-L20</x:f>
        <x:v>8</x:v>
      </x:c>
      <x:c r="N20" s="65" t="n">
        <x:v>0</x:v>
      </x:c>
      <x:c r="O20" s="65" t="n">
        <x:f>M20-N20</x:f>
        <x:v>8</x:v>
      </x:c>
      <x:c r="P20" s="65" t="n">
        <x:v>0</x:v>
      </x:c>
      <x:c r="Q20" s="65" t="n">
        <x:f>O20-P20</x:f>
        <x:v>8</x:v>
      </x:c>
      <x:c r="R20" s="65" t="n">
        <x:v>0</x:v>
      </x:c>
      <x:c r="S20" s="65" t="n">
        <x:f>Q20-R20</x:f>
        <x:v>8</x:v>
      </x:c>
      <x:c r="T20" s="65" t="n">
        <x:v>0</x:v>
      </x:c>
      <x:c r="U20" s="65" t="n">
        <x:f>S20-T20</x:f>
        <x:v>8</x:v>
      </x:c>
      <x:c r="V20" s="65" t="n">
        <x:v>0</x:v>
      </x:c>
      <x:c r="W20" s="65" t="n">
        <x:f>U20-V20</x:f>
        <x:v>8</x:v>
      </x:c>
      <x:c r="X20" s="65" t="n">
        <x:v>0</x:v>
      </x:c>
      <x:c r="Y20" s="65" t="n">
        <x:f>W20-X20</x:f>
        <x:v>8</x:v>
      </x:c>
      <x:c r="Z20" s="65" t="n">
        <x:v>0</x:v>
      </x:c>
      <x:c r="AA20" s="65" t="n">
        <x:f>Y20-Z20</x:f>
        <x:v>8</x:v>
      </x:c>
      <x:c r="AB20" s="65" t="n">
        <x:f>SUM(H20,J20,L20,N20,P20,R20,T20,V20,X20,Z20)</x:f>
        <x:v>0</x:v>
      </x:c>
      <x:c r="AC20" s="65" t="n">
        <x:f>AA20</x:f>
        <x:v>8</x:v>
      </x:c>
    </x:row>
    <x:row r="21" ht="21.600000381469727" hidden="0" customHeight="1">
      <x:c r="B21" s="64" t="str"/>
      <x:c r="C21" s="64" t="str"/>
      <x:c r="D21" s="64" t="str">
        <x:v>Implementar edición, cancelación y visualización de eventos anteriores</x:v>
      </x:c>
      <x:c r="E21" s="65" t="str">
        <x:v>Rodrigo Romero</x:v>
      </x:c>
      <x:c r="F21" s="65" t="str">
        <x:v>Por iniciar</x:v>
      </x:c>
      <x:c r="G21" s="65" t="n">
        <x:v>5</x:v>
      </x:c>
      <x:c r="H21" s="65" t="n">
        <x:v>0</x:v>
      </x:c>
      <x:c r="I21" s="65" t="n">
        <x:f>G21-H21</x:f>
        <x:v>5</x:v>
      </x:c>
      <x:c r="J21" s="65" t="n">
        <x:v>0</x:v>
      </x:c>
      <x:c r="K21" s="65" t="n">
        <x:f>I21-J21</x:f>
        <x:v>5</x:v>
      </x:c>
      <x:c r="L21" s="65" t="n">
        <x:v>0</x:v>
      </x:c>
      <x:c r="M21" s="65" t="n">
        <x:f>K21-L21</x:f>
        <x:v>5</x:v>
      </x:c>
      <x:c r="N21" s="65" t="n">
        <x:v>0</x:v>
      </x:c>
      <x:c r="O21" s="65" t="n">
        <x:f>M21-N21</x:f>
        <x:v>5</x:v>
      </x:c>
      <x:c r="P21" s="65" t="n">
        <x:v>0</x:v>
      </x:c>
      <x:c r="Q21" s="65" t="n">
        <x:f>O21-P21</x:f>
        <x:v>5</x:v>
      </x:c>
      <x:c r="R21" s="65" t="n">
        <x:v>0</x:v>
      </x:c>
      <x:c r="S21" s="65" t="n">
        <x:f>Q21-R21</x:f>
        <x:v>5</x:v>
      </x:c>
      <x:c r="T21" s="65" t="n">
        <x:v>0</x:v>
      </x:c>
      <x:c r="U21" s="65" t="n">
        <x:f>S21-T21</x:f>
        <x:v>5</x:v>
      </x:c>
      <x:c r="V21" s="65" t="n">
        <x:v>0</x:v>
      </x:c>
      <x:c r="W21" s="65" t="n">
        <x:f>U21-V21</x:f>
        <x:v>5</x:v>
      </x:c>
      <x:c r="X21" s="65" t="n">
        <x:v>0</x:v>
      </x:c>
      <x:c r="Y21" s="65" t="n">
        <x:f>W21-X21</x:f>
        <x:v>5</x:v>
      </x:c>
      <x:c r="Z21" s="65" t="n">
        <x:v>0</x:v>
      </x:c>
      <x:c r="AA21" s="65" t="n">
        <x:f>Y21-Z21</x:f>
        <x:v>5</x:v>
      </x:c>
      <x:c r="AB21" s="65" t="n">
        <x:f>SUM(H21,J21,L21,N21,P21,R21,T21,V21,X21,Z21)</x:f>
        <x:v>0</x:v>
      </x:c>
      <x:c r="AC21" s="65" t="n">
        <x:f>AA21</x:f>
        <x:v>5</x:v>
      </x:c>
    </x:row>
    <x:row r="22" ht="15" hidden="0" customHeight="1">
      <x:c r="B22" s="64" t="str"/>
      <x:c r="C22" s="64" t="str"/>
      <x:c r="D22" s="64" t="str">
        <x:v>Ejecutar pruebas backend de reglas y validaciones de eventos</x:v>
      </x:c>
      <x:c r="E22" s="65" t="str">
        <x:v>Richard Diaz</x:v>
      </x:c>
      <x:c r="F22" s="65" t="str">
        <x:v>Por iniciar</x:v>
      </x:c>
      <x:c r="G22" s="65" t="n">
        <x:v>4</x:v>
      </x:c>
      <x:c r="H22" s="65" t="n">
        <x:v>0</x:v>
      </x:c>
      <x:c r="I22" s="65" t="n">
        <x:f>G22-H22</x:f>
        <x:v>4</x:v>
      </x:c>
      <x:c r="J22" s="65" t="n">
        <x:v>0</x:v>
      </x:c>
      <x:c r="K22" s="65" t="n">
        <x:f>I22-J22</x:f>
        <x:v>4</x:v>
      </x:c>
      <x:c r="L22" s="65" t="n">
        <x:v>0</x:v>
      </x:c>
      <x:c r="M22" s="65" t="n">
        <x:f>K22-L22</x:f>
        <x:v>4</x:v>
      </x:c>
      <x:c r="N22" s="65" t="n">
        <x:v>0</x:v>
      </x:c>
      <x:c r="O22" s="65" t="n">
        <x:f>M22-N22</x:f>
        <x:v>4</x:v>
      </x:c>
      <x:c r="P22" s="65" t="n">
        <x:v>0</x:v>
      </x:c>
      <x:c r="Q22" s="65" t="n">
        <x:f>O22-P22</x:f>
        <x:v>4</x:v>
      </x:c>
      <x:c r="R22" s="65" t="n">
        <x:v>0</x:v>
      </x:c>
      <x:c r="S22" s="65" t="n">
        <x:f>Q22-R22</x:f>
        <x:v>4</x:v>
      </x:c>
      <x:c r="T22" s="65" t="n">
        <x:v>0</x:v>
      </x:c>
      <x:c r="U22" s="65" t="n">
        <x:f>S22-T22</x:f>
        <x:v>4</x:v>
      </x:c>
      <x:c r="V22" s="65" t="n">
        <x:v>0</x:v>
      </x:c>
      <x:c r="W22" s="65" t="n">
        <x:f>U22-V22</x:f>
        <x:v>4</x:v>
      </x:c>
      <x:c r="X22" s="65" t="n">
        <x:v>0</x:v>
      </x:c>
      <x:c r="Y22" s="65" t="n">
        <x:f>W22-X22</x:f>
        <x:v>4</x:v>
      </x:c>
      <x:c r="Z22" s="65" t="n">
        <x:v>0</x:v>
      </x:c>
      <x:c r="AA22" s="65" t="n">
        <x:f>Y22-Z22</x:f>
        <x:v>4</x:v>
      </x:c>
      <x:c r="AB22" s="65" t="n">
        <x:f>SUM(H22,J22,L22,N22,P22,R22,T22,V22,X22,Z22)</x:f>
        <x:v>0</x:v>
      </x:c>
      <x:c r="AC22" s="65" t="n">
        <x:f>AA22</x:f>
        <x:v>4</x:v>
      </x:c>
    </x:row>
    <x:row r="23" ht="15" hidden="0" customHeight="1">
      <x:c r="B23" s="64" t="str"/>
      <x:c r="C23" s="64" t="str"/>
      <x:c r="D23" s="64" t="str">
        <x:v>Ejecutar pruebas funcionales y de aceptación del módulo</x:v>
      </x:c>
      <x:c r="E23" s="65" t="str">
        <x:v>Richard Diaz</x:v>
      </x:c>
      <x:c r="F23" s="65" t="str">
        <x:v>Por iniciar</x:v>
      </x:c>
      <x:c r="G23" s="65" t="n">
        <x:v>4</x:v>
      </x:c>
      <x:c r="H23" s="65" t="n">
        <x:v>0</x:v>
      </x:c>
      <x:c r="I23" s="65" t="n">
        <x:f>G23-H23</x:f>
        <x:v>4</x:v>
      </x:c>
      <x:c r="J23" s="65" t="n">
        <x:v>0</x:v>
      </x:c>
      <x:c r="K23" s="65" t="n">
        <x:f>I23-J23</x:f>
        <x:v>4</x:v>
      </x:c>
      <x:c r="L23" s="65" t="n">
        <x:v>0</x:v>
      </x:c>
      <x:c r="M23" s="65" t="n">
        <x:f>K23-L23</x:f>
        <x:v>4</x:v>
      </x:c>
      <x:c r="N23" s="65" t="n">
        <x:v>0</x:v>
      </x:c>
      <x:c r="O23" s="65" t="n">
        <x:f>M23-N23</x:f>
        <x:v>4</x:v>
      </x:c>
      <x:c r="P23" s="65" t="n">
        <x:v>0</x:v>
      </x:c>
      <x:c r="Q23" s="65" t="n">
        <x:f>O23-P23</x:f>
        <x:v>4</x:v>
      </x:c>
      <x:c r="R23" s="65" t="n">
        <x:v>0</x:v>
      </x:c>
      <x:c r="S23" s="65" t="n">
        <x:f>Q23-R23</x:f>
        <x:v>4</x:v>
      </x:c>
      <x:c r="T23" s="65" t="n">
        <x:v>0</x:v>
      </x:c>
      <x:c r="U23" s="65" t="n">
        <x:f>S23-T23</x:f>
        <x:v>4</x:v>
      </x:c>
      <x:c r="V23" s="65" t="n">
        <x:v>0</x:v>
      </x:c>
      <x:c r="W23" s="65" t="n">
        <x:f>U23-V23</x:f>
        <x:v>4</x:v>
      </x:c>
      <x:c r="X23" s="65" t="n">
        <x:v>0</x:v>
      </x:c>
      <x:c r="Y23" s="65" t="n">
        <x:f>W23-X23</x:f>
        <x:v>4</x:v>
      </x:c>
      <x:c r="Z23" s="65" t="n">
        <x:v>0</x:v>
      </x:c>
      <x:c r="AA23" s="65" t="n">
        <x:f>Y23-Z23</x:f>
        <x:v>4</x:v>
      </x:c>
      <x:c r="AB23" s="65" t="n">
        <x:f>SUM(H23,J23,L23,N23,P23,R23,T23,V23,X23,Z23)</x:f>
        <x:v>0</x:v>
      </x:c>
      <x:c r="AC23" s="65" t="n">
        <x:f>AA23</x:f>
        <x:v>4</x:v>
      </x:c>
    </x:row>
    <x:row r="24" ht="32.400001525878906" hidden="0" customHeight="1">
      <x:c r="B24" s="63" t="str">
        <x:v>HU-08</x:v>
      </x:c>
      <x:c r="C24" s="63" t="str">
        <x:v>Como vecino, quiero inscribirme en las actividades publicadas, para asegurar mi participación y facilitar la organización del evento.</x:v>
      </x:c>
      <x:c r="D24" s="64" t="str">
        <x:v>Implementar modelo y endpoint de inscripción a eventos</x:v>
      </x:c>
      <x:c r="E24" s="65" t="str">
        <x:v>Ivan Tamayo</x:v>
      </x:c>
      <x:c r="F24" s="65" t="str">
        <x:v>Por iniciar</x:v>
      </x:c>
      <x:c r="G24" s="65" t="n">
        <x:v>5</x:v>
      </x:c>
      <x:c r="H24" s="65" t="n">
        <x:v>0</x:v>
      </x:c>
      <x:c r="I24" s="65" t="n">
        <x:f>G24-H24</x:f>
        <x:v>5</x:v>
      </x:c>
      <x:c r="J24" s="65" t="n">
        <x:v>0</x:v>
      </x:c>
      <x:c r="K24" s="65" t="n">
        <x:f>I24-J24</x:f>
        <x:v>5</x:v>
      </x:c>
      <x:c r="L24" s="65" t="n">
        <x:v>0</x:v>
      </x:c>
      <x:c r="M24" s="65" t="n">
        <x:f>K24-L24</x:f>
        <x:v>5</x:v>
      </x:c>
      <x:c r="N24" s="65" t="n">
        <x:v>0</x:v>
      </x:c>
      <x:c r="O24" s="65" t="n">
        <x:f>M24-N24</x:f>
        <x:v>5</x:v>
      </x:c>
      <x:c r="P24" s="65" t="n">
        <x:v>0</x:v>
      </x:c>
      <x:c r="Q24" s="65" t="n">
        <x:f>O24-P24</x:f>
        <x:v>5</x:v>
      </x:c>
      <x:c r="R24" s="65" t="n">
        <x:v>0</x:v>
      </x:c>
      <x:c r="S24" s="65" t="n">
        <x:f>Q24-R24</x:f>
        <x:v>5</x:v>
      </x:c>
      <x:c r="T24" s="65" t="n">
        <x:v>0</x:v>
      </x:c>
      <x:c r="U24" s="65" t="n">
        <x:f>S24-T24</x:f>
        <x:v>5</x:v>
      </x:c>
      <x:c r="V24" s="65" t="n">
        <x:v>0</x:v>
      </x:c>
      <x:c r="W24" s="65" t="n">
        <x:f>U24-V24</x:f>
        <x:v>5</x:v>
      </x:c>
      <x:c r="X24" s="65" t="n">
        <x:v>0</x:v>
      </x:c>
      <x:c r="Y24" s="65" t="n">
        <x:f>W24-X24</x:f>
        <x:v>5</x:v>
      </x:c>
      <x:c r="Z24" s="65" t="n">
        <x:v>0</x:v>
      </x:c>
      <x:c r="AA24" s="65" t="n">
        <x:f>Y24-Z24</x:f>
        <x:v>5</x:v>
      </x:c>
      <x:c r="AB24" s="65" t="n">
        <x:f>SUM(H24,J24,L24,N24,P24,R24,T24,V24,X24,Z24)</x:f>
        <x:v>0</x:v>
      </x:c>
      <x:c r="AC24" s="65" t="n">
        <x:f>AA24</x:f>
        <x:v>5</x:v>
      </x:c>
    </x:row>
    <x:row r="25" ht="15" hidden="0" customHeight="1">
      <x:c r="B25" s="64" t="str"/>
      <x:c r="C25" s="64" t="str"/>
      <x:c r="D25" s="64" t="str">
        <x:v>Implementar validación de cupos e inscripción duplicada</x:v>
      </x:c>
      <x:c r="E25" s="65" t="str">
        <x:v>Ivan Tamayo</x:v>
      </x:c>
      <x:c r="F25" s="65" t="str">
        <x:v>Por iniciar</x:v>
      </x:c>
      <x:c r="G25" s="65" t="n">
        <x:v>3</x:v>
      </x:c>
      <x:c r="H25" s="65" t="n">
        <x:v>0</x:v>
      </x:c>
      <x:c r="I25" s="65" t="n">
        <x:f>G25-H25</x:f>
        <x:v>3</x:v>
      </x:c>
      <x:c r="J25" s="65" t="n">
        <x:v>0</x:v>
      </x:c>
      <x:c r="K25" s="65" t="n">
        <x:f>I25-J25</x:f>
        <x:v>3</x:v>
      </x:c>
      <x:c r="L25" s="65" t="n">
        <x:v>0</x:v>
      </x:c>
      <x:c r="M25" s="65" t="n">
        <x:f>K25-L25</x:f>
        <x:v>3</x:v>
      </x:c>
      <x:c r="N25" s="65" t="n">
        <x:v>0</x:v>
      </x:c>
      <x:c r="O25" s="65" t="n">
        <x:f>M25-N25</x:f>
        <x:v>3</x:v>
      </x:c>
      <x:c r="P25" s="65" t="n">
        <x:v>0</x:v>
      </x:c>
      <x:c r="Q25" s="65" t="n">
        <x:f>O25-P25</x:f>
        <x:v>3</x:v>
      </x:c>
      <x:c r="R25" s="65" t="n">
        <x:v>0</x:v>
      </x:c>
      <x:c r="S25" s="65" t="n">
        <x:f>Q25-R25</x:f>
        <x:v>3</x:v>
      </x:c>
      <x:c r="T25" s="65" t="n">
        <x:v>0</x:v>
      </x:c>
      <x:c r="U25" s="65" t="n">
        <x:f>S25-T25</x:f>
        <x:v>3</x:v>
      </x:c>
      <x:c r="V25" s="65" t="n">
        <x:v>0</x:v>
      </x:c>
      <x:c r="W25" s="65" t="n">
        <x:f>U25-V25</x:f>
        <x:v>3</x:v>
      </x:c>
      <x:c r="X25" s="65" t="n">
        <x:v>0</x:v>
      </x:c>
      <x:c r="Y25" s="65" t="n">
        <x:f>W25-X25</x:f>
        <x:v>3</x:v>
      </x:c>
      <x:c r="Z25" s="65" t="n">
        <x:v>0</x:v>
      </x:c>
      <x:c r="AA25" s="65" t="n">
        <x:f>Y25-Z25</x:f>
        <x:v>3</x:v>
      </x:c>
      <x:c r="AB25" s="65" t="n">
        <x:f>SUM(H25,J25,L25,N25,P25,R25,T25,V25,X25,Z25)</x:f>
        <x:v>0</x:v>
      </x:c>
      <x:c r="AC25" s="65" t="n">
        <x:f>AA25</x:f>
        <x:v>3</x:v>
      </x:c>
    </x:row>
    <x:row r="26" ht="15" hidden="0" customHeight="1">
      <x:c r="B26" s="64" t="str"/>
      <x:c r="C26" s="64" t="str"/>
      <x:c r="D26" s="64" t="str">
        <x:v>Diseñar e implementar acción de inscripción y confirmación</x:v>
      </x:c>
      <x:c r="E26" s="65" t="str">
        <x:v>Rodrigo Romero</x:v>
      </x:c>
      <x:c r="F26" s="65" t="str">
        <x:v>Por iniciar</x:v>
      </x:c>
      <x:c r="G26" s="65" t="n">
        <x:v>4</x:v>
      </x:c>
      <x:c r="H26" s="65" t="n">
        <x:v>0</x:v>
      </x:c>
      <x:c r="I26" s="65" t="n">
        <x:f>G26-H26</x:f>
        <x:v>4</x:v>
      </x:c>
      <x:c r="J26" s="65" t="n">
        <x:v>0</x:v>
      </x:c>
      <x:c r="K26" s="65" t="n">
        <x:f>I26-J26</x:f>
        <x:v>4</x:v>
      </x:c>
      <x:c r="L26" s="65" t="n">
        <x:v>0</x:v>
      </x:c>
      <x:c r="M26" s="65" t="n">
        <x:f>K26-L26</x:f>
        <x:v>4</x:v>
      </x:c>
      <x:c r="N26" s="65" t="n">
        <x:v>0</x:v>
      </x:c>
      <x:c r="O26" s="65" t="n">
        <x:f>M26-N26</x:f>
        <x:v>4</x:v>
      </x:c>
      <x:c r="P26" s="65" t="n">
        <x:v>0</x:v>
      </x:c>
      <x:c r="Q26" s="65" t="n">
        <x:f>O26-P26</x:f>
        <x:v>4</x:v>
      </x:c>
      <x:c r="R26" s="65" t="n">
        <x:v>0</x:v>
      </x:c>
      <x:c r="S26" s="65" t="n">
        <x:f>Q26-R26</x:f>
        <x:v>4</x:v>
      </x:c>
      <x:c r="T26" s="65" t="n">
        <x:v>0</x:v>
      </x:c>
      <x:c r="U26" s="65" t="n">
        <x:f>S26-T26</x:f>
        <x:v>4</x:v>
      </x:c>
      <x:c r="V26" s="65" t="n">
        <x:v>0</x:v>
      </x:c>
      <x:c r="W26" s="65" t="n">
        <x:f>U26-V26</x:f>
        <x:v>4</x:v>
      </x:c>
      <x:c r="X26" s="65" t="n">
        <x:v>0</x:v>
      </x:c>
      <x:c r="Y26" s="65" t="n">
        <x:f>W26-X26</x:f>
        <x:v>4</x:v>
      </x:c>
      <x:c r="Z26" s="65" t="n">
        <x:v>0</x:v>
      </x:c>
      <x:c r="AA26" s="65" t="n">
        <x:f>Y26-Z26</x:f>
        <x:v>4</x:v>
      </x:c>
      <x:c r="AB26" s="65" t="n">
        <x:f>SUM(H26,J26,L26,N26,P26,R26,T26,V26,X26,Z26)</x:f>
        <x:v>0</x:v>
      </x:c>
      <x:c r="AC26" s="65" t="n">
        <x:f>AA26</x:f>
        <x:v>4</x:v>
      </x:c>
    </x:row>
    <x:row r="27" ht="15" hidden="0" customHeight="1">
      <x:c r="B27" s="64" t="str"/>
      <x:c r="C27" s="64" t="str"/>
      <x:c r="D27" s="64" t="str">
        <x:v>Integrar estado de inscripción en listado y detalle del evento</x:v>
      </x:c>
      <x:c r="E27" s="65" t="str">
        <x:v>Rodrigo Romero</x:v>
      </x:c>
      <x:c r="F27" s="65" t="str">
        <x:v>Por iniciar</x:v>
      </x:c>
      <x:c r="G27" s="65" t="n">
        <x:v>2</x:v>
      </x:c>
      <x:c r="H27" s="65" t="n">
        <x:v>0</x:v>
      </x:c>
      <x:c r="I27" s="65" t="n">
        <x:f>G27-H27</x:f>
        <x:v>2</x:v>
      </x:c>
      <x:c r="J27" s="65" t="n">
        <x:v>0</x:v>
      </x:c>
      <x:c r="K27" s="65" t="n">
        <x:f>I27-J27</x:f>
        <x:v>2</x:v>
      </x:c>
      <x:c r="L27" s="65" t="n">
        <x:v>0</x:v>
      </x:c>
      <x:c r="M27" s="65" t="n">
        <x:f>K27-L27</x:f>
        <x:v>2</x:v>
      </x:c>
      <x:c r="N27" s="65" t="n">
        <x:v>0</x:v>
      </x:c>
      <x:c r="O27" s="65" t="n">
        <x:f>M27-N27</x:f>
        <x:v>2</x:v>
      </x:c>
      <x:c r="P27" s="65" t="n">
        <x:v>0</x:v>
      </x:c>
      <x:c r="Q27" s="65" t="n">
        <x:f>O27-P27</x:f>
        <x:v>2</x:v>
      </x:c>
      <x:c r="R27" s="65" t="n">
        <x:v>0</x:v>
      </x:c>
      <x:c r="S27" s="65" t="n">
        <x:f>Q27-R27</x:f>
        <x:v>2</x:v>
      </x:c>
      <x:c r="T27" s="65" t="n">
        <x:v>0</x:v>
      </x:c>
      <x:c r="U27" s="65" t="n">
        <x:f>S27-T27</x:f>
        <x:v>2</x:v>
      </x:c>
      <x:c r="V27" s="65" t="n">
        <x:v>0</x:v>
      </x:c>
      <x:c r="W27" s="65" t="n">
        <x:f>U27-V27</x:f>
        <x:v>2</x:v>
      </x:c>
      <x:c r="X27" s="65" t="n">
        <x:v>0</x:v>
      </x:c>
      <x:c r="Y27" s="65" t="n">
        <x:f>W27-X27</x:f>
        <x:v>2</x:v>
      </x:c>
      <x:c r="Z27" s="65" t="n">
        <x:v>0</x:v>
      </x:c>
      <x:c r="AA27" s="65" t="n">
        <x:f>Y27-Z27</x:f>
        <x:v>2</x:v>
      </x:c>
      <x:c r="AB27" s="65" t="n">
        <x:f>SUM(H27,J27,L27,N27,P27,R27,T27,V27,X27,Z27)</x:f>
        <x:v>0</x:v>
      </x:c>
      <x:c r="AC27" s="65" t="n">
        <x:f>AA27</x:f>
        <x:v>2</x:v>
      </x:c>
    </x:row>
    <x:row r="28" ht="15" hidden="0" customHeight="1">
      <x:c r="B28" s="64" t="str"/>
      <x:c r="C28" s="64" t="str"/>
      <x:c r="D28" s="64" t="str">
        <x:v>Probar cupos, duplicados, permisos y escenarios límite</x:v>
      </x:c>
      <x:c r="E28" s="65" t="str">
        <x:v>Richard Diaz</x:v>
      </x:c>
      <x:c r="F28" s="65" t="str">
        <x:v>Por iniciar</x:v>
      </x:c>
      <x:c r="G28" s="65" t="n">
        <x:v>6</x:v>
      </x:c>
      <x:c r="H28" s="65" t="n">
        <x:v>0</x:v>
      </x:c>
      <x:c r="I28" s="65" t="n">
        <x:f>G28-H28</x:f>
        <x:v>6</x:v>
      </x:c>
      <x:c r="J28" s="65" t="n">
        <x:v>0</x:v>
      </x:c>
      <x:c r="K28" s="65" t="n">
        <x:f>I28-J28</x:f>
        <x:v>6</x:v>
      </x:c>
      <x:c r="L28" s="65" t="n">
        <x:v>0</x:v>
      </x:c>
      <x:c r="M28" s="65" t="n">
        <x:f>K28-L28</x:f>
        <x:v>6</x:v>
      </x:c>
      <x:c r="N28" s="65" t="n">
        <x:v>0</x:v>
      </x:c>
      <x:c r="O28" s="65" t="n">
        <x:f>M28-N28</x:f>
        <x:v>6</x:v>
      </x:c>
      <x:c r="P28" s="65" t="n">
        <x:v>0</x:v>
      </x:c>
      <x:c r="Q28" s="65" t="n">
        <x:f>O28-P28</x:f>
        <x:v>6</x:v>
      </x:c>
      <x:c r="R28" s="65" t="n">
        <x:v>0</x:v>
      </x:c>
      <x:c r="S28" s="65" t="n">
        <x:f>Q28-R28</x:f>
        <x:v>6</x:v>
      </x:c>
      <x:c r="T28" s="65" t="n">
        <x:v>0</x:v>
      </x:c>
      <x:c r="U28" s="65" t="n">
        <x:f>S28-T28</x:f>
        <x:v>6</x:v>
      </x:c>
      <x:c r="V28" s="65" t="n">
        <x:v>0</x:v>
      </x:c>
      <x:c r="W28" s="65" t="n">
        <x:f>U28-V28</x:f>
        <x:v>6</x:v>
      </x:c>
      <x:c r="X28" s="65" t="n">
        <x:v>0</x:v>
      </x:c>
      <x:c r="Y28" s="65" t="n">
        <x:f>W28-X28</x:f>
        <x:v>6</x:v>
      </x:c>
      <x:c r="Z28" s="65" t="n">
        <x:v>0</x:v>
      </x:c>
      <x:c r="AA28" s="65" t="n">
        <x:f>Y28-Z28</x:f>
        <x:v>6</x:v>
      </x:c>
      <x:c r="AB28" s="65" t="n">
        <x:f>SUM(H28,J28,L28,N28,P28,R28,T28,V28,X28,Z28)</x:f>
        <x:v>0</x:v>
      </x:c>
      <x:c r="AC28" s="65" t="n">
        <x:f>AA28</x:f>
        <x:v>6</x:v>
      </x:c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28">
    <x:cfRule type="expression" dxfId="18" priority="1">
      <x:formula>F6="Hecho"</x:formula>
    </x:cfRule>
    <x:cfRule type="expression" dxfId="19" priority="2">
      <x:formula>F6="En proceso"</x:formula>
    </x:cfRule>
    <x:cfRule type="expression" dxfId="20" priority="3">
      <x:formula>F6="Por iniciar"</x:formula>
    </x:cfRule>
  </x:conditionalFormatting>
  <x:dataValidations count="2">
    <x:dataValidation type="list" sqref="E6:E28">
      <x:formula1>"Ivan Tamayo,Rodrigo Romero,Richard Diaz,Por definir"</x:formula1>
    </x:dataValidation>
    <x:dataValidation type="list" sqref="F6:F28">
      <x:formula1>"Por iniciar,En proceso,Hecho"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3 | Semanas 9–10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5</x:v>
      </x:c>
      <x:c r="C3" s="17" t="str">
        <x:v>Story Points: 31</x:v>
      </x:c>
      <x:c r="D3" s="17" t="str">
        <x:v>Tareas: 27</x:v>
      </x:c>
      <x:c r="E3" s="17" t="str">
        <x:v>Horas estimadas: 124</x:v>
      </x:c>
      <x:c r="F3" s="17" t="str">
        <x:v>Estado: Por iniciar</x:v>
      </x:c>
      <x:c r="G3" s="17" t="str">
        <x:v>Asignación inicial por rol</x:v>
      </x:c>
    </x:row>
    <x:row r="4" ht="28" customHeight="1"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Product Backlog</x:v>
      </x:c>
      <x:c r="C5" s="34" t="str">
        <x:v>Enunciado del Product Backlog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32.400001525878906" hidden="0" customHeight="1">
      <x:c r="B6" s="63" t="str">
        <x:v>HU-09</x:v>
      </x:c>
      <x:c r="C6" s="63" t="str">
        <x:v>Como integrante de la directiva, quiero consultar los inscritos y registrar la asistencia de un evento, para llevar un control básico de la participación comunitaria.</x:v>
      </x:c>
      <x:c r="D6" s="64" t="str">
        <x:v>Implementar consulta de inscritos y registro de asistencia</x:v>
      </x:c>
      <x:c r="E6" s="65" t="str">
        <x:v>Ivan Tamayo</x:v>
      </x:c>
      <x:c r="F6" s="65" t="str">
        <x:v>Por iniciar</x:v>
      </x:c>
      <x:c r="G6" s="65" t="n">
        <x:v>5</x:v>
      </x:c>
      <x:c r="H6" s="65" t="n">
        <x:v>0</x:v>
      </x:c>
      <x:c r="I6" s="65" t="n">
        <x:f>G6-H6</x:f>
        <x:v>5</x:v>
      </x:c>
      <x:c r="J6" s="65" t="n">
        <x:v>0</x:v>
      </x:c>
      <x:c r="K6" s="65" t="n">
        <x:f>I6-J6</x:f>
        <x:v>5</x:v>
      </x:c>
      <x:c r="L6" s="65" t="n">
        <x:v>0</x:v>
      </x:c>
      <x:c r="M6" s="65" t="n">
        <x:f>K6-L6</x:f>
        <x:v>5</x:v>
      </x:c>
      <x:c r="N6" s="65" t="n">
        <x:v>0</x:v>
      </x:c>
      <x:c r="O6" s="65" t="n">
        <x:f>M6-N6</x:f>
        <x:v>5</x:v>
      </x:c>
      <x:c r="P6" s="65" t="n">
        <x:v>0</x:v>
      </x:c>
      <x:c r="Q6" s="65" t="n">
        <x:f>O6-P6</x:f>
        <x:v>5</x:v>
      </x:c>
      <x:c r="R6" s="65" t="n">
        <x:v>0</x:v>
      </x:c>
      <x:c r="S6" s="65" t="n">
        <x:f>Q6-R6</x:f>
        <x:v>5</x:v>
      </x:c>
      <x:c r="T6" s="65" t="n">
        <x:v>0</x:v>
      </x:c>
      <x:c r="U6" s="65" t="n">
        <x:f>S6-T6</x:f>
        <x:v>5</x:v>
      </x:c>
      <x:c r="V6" s="65" t="n">
        <x:v>0</x:v>
      </x:c>
      <x:c r="W6" s="65" t="n">
        <x:f>U6-V6</x:f>
        <x:v>5</x:v>
      </x:c>
      <x:c r="X6" s="65" t="n">
        <x:v>0</x:v>
      </x:c>
      <x:c r="Y6" s="65" t="n">
        <x:f>W6-X6</x:f>
        <x:v>5</x:v>
      </x:c>
      <x:c r="Z6" s="65" t="n">
        <x:v>0</x:v>
      </x:c>
      <x:c r="AA6" s="65" t="n">
        <x:f>Y6-Z6</x:f>
        <x:v>5</x:v>
      </x:c>
      <x:c r="AB6" s="65" t="n">
        <x:f>SUM(H6,J6,L6,N6,P6,R6,T6,V6,X6,Z6)</x:f>
        <x:v>0</x:v>
      </x:c>
      <x:c r="AC6" s="65" t="n">
        <x:f>AA6</x:f>
        <x:v>5</x:v>
      </x:c>
    </x:row>
    <x:row r="7" ht="21.600000381469727" hidden="0" customHeight="1">
      <x:c r="B7" s="64" t="str"/>
      <x:c r="C7" s="64" t="str"/>
      <x:c r="D7" s="64" t="str">
        <x:v>Diseñar e implementar vista de participantes y control de asistencia</x:v>
      </x:c>
      <x:c r="E7" s="65" t="str">
        <x:v>Rodrigo Romero</x:v>
      </x:c>
      <x:c r="F7" s="65" t="str">
        <x:v>Por iniciar</x:v>
      </x:c>
      <x:c r="G7" s="65" t="n">
        <x:v>6</x:v>
      </x:c>
      <x:c r="H7" s="65" t="n">
        <x:v>0</x:v>
      </x:c>
      <x:c r="I7" s="65" t="n">
        <x:f>G7-H7</x:f>
        <x:v>6</x:v>
      </x:c>
      <x:c r="J7" s="65" t="n">
        <x:v>0</x:v>
      </x:c>
      <x:c r="K7" s="65" t="n">
        <x:f>I7-J7</x:f>
        <x:v>6</x:v>
      </x:c>
      <x:c r="L7" s="65" t="n">
        <x:v>0</x:v>
      </x:c>
      <x:c r="M7" s="65" t="n">
        <x:f>K7-L7</x:f>
        <x:v>6</x:v>
      </x:c>
      <x:c r="N7" s="65" t="n">
        <x:v>0</x:v>
      </x:c>
      <x:c r="O7" s="65" t="n">
        <x:f>M7-N7</x:f>
        <x:v>6</x:v>
      </x:c>
      <x:c r="P7" s="65" t="n">
        <x:v>0</x:v>
      </x:c>
      <x:c r="Q7" s="65" t="n">
        <x:f>O7-P7</x:f>
        <x:v>6</x:v>
      </x:c>
      <x:c r="R7" s="65" t="n">
        <x:v>0</x:v>
      </x:c>
      <x:c r="S7" s="65" t="n">
        <x:f>Q7-R7</x:f>
        <x:v>6</x:v>
      </x:c>
      <x:c r="T7" s="65" t="n">
        <x:v>0</x:v>
      </x:c>
      <x:c r="U7" s="65" t="n">
        <x:f>S7-T7</x:f>
        <x:v>6</x:v>
      </x:c>
      <x:c r="V7" s="65" t="n">
        <x:v>0</x:v>
      </x:c>
      <x:c r="W7" s="65" t="n">
        <x:f>U7-V7</x:f>
        <x:v>6</x:v>
      </x:c>
      <x:c r="X7" s="65" t="n">
        <x:v>0</x:v>
      </x:c>
      <x:c r="Y7" s="65" t="n">
        <x:f>W7-X7</x:f>
        <x:v>6</x:v>
      </x:c>
      <x:c r="Z7" s="65" t="n">
        <x:v>0</x:v>
      </x:c>
      <x:c r="AA7" s="65" t="n">
        <x:f>Y7-Z7</x:f>
        <x:v>6</x:v>
      </x:c>
      <x:c r="AB7" s="65" t="n">
        <x:f>SUM(H7,J7,L7,N7,P7,R7,T7,V7,X7,Z7)</x:f>
        <x:v>0</x:v>
      </x:c>
      <x:c r="AC7" s="65" t="n">
        <x:f>AA7</x:f>
        <x:v>6</x:v>
      </x:c>
    </x:row>
    <x:row r="8" ht="15" hidden="0" customHeight="1">
      <x:c r="B8" s="64" t="str"/>
      <x:c r="C8" s="64" t="str"/>
      <x:c r="D8" s="64" t="str">
        <x:v>Implementar validaciones y permisos para modificar asistencia</x:v>
      </x:c>
      <x:c r="E8" s="65" t="str">
        <x:v>Richard Diaz</x:v>
      </x:c>
      <x:c r="F8" s="65" t="str">
        <x:v>Por iniciar</x:v>
      </x:c>
      <x:c r="G8" s="65" t="n">
        <x:v>3</x:v>
      </x:c>
      <x:c r="H8" s="65" t="n">
        <x:v>0</x:v>
      </x:c>
      <x:c r="I8" s="65" t="n">
        <x:f>G8-H8</x:f>
        <x:v>3</x:v>
      </x:c>
      <x:c r="J8" s="65" t="n">
        <x:v>0</x:v>
      </x:c>
      <x:c r="K8" s="65" t="n">
        <x:f>I8-J8</x:f>
        <x:v>3</x:v>
      </x:c>
      <x:c r="L8" s="65" t="n">
        <x:v>0</x:v>
      </x:c>
      <x:c r="M8" s="65" t="n">
        <x:f>K8-L8</x:f>
        <x:v>3</x:v>
      </x:c>
      <x:c r="N8" s="65" t="n">
        <x:v>0</x:v>
      </x:c>
      <x:c r="O8" s="65" t="n">
        <x:f>M8-N8</x:f>
        <x:v>3</x:v>
      </x:c>
      <x:c r="P8" s="65" t="n">
        <x:v>0</x:v>
      </x:c>
      <x:c r="Q8" s="65" t="n">
        <x:f>O8-P8</x:f>
        <x:v>3</x:v>
      </x:c>
      <x:c r="R8" s="65" t="n">
        <x:v>0</x:v>
      </x:c>
      <x:c r="S8" s="65" t="n">
        <x:f>Q8-R8</x:f>
        <x:v>3</x:v>
      </x:c>
      <x:c r="T8" s="65" t="n">
        <x:v>0</x:v>
      </x:c>
      <x:c r="U8" s="65" t="n">
        <x:f>S8-T8</x:f>
        <x:v>3</x:v>
      </x:c>
      <x:c r="V8" s="65" t="n">
        <x:v>0</x:v>
      </x:c>
      <x:c r="W8" s="65" t="n">
        <x:f>U8-V8</x:f>
        <x:v>3</x:v>
      </x:c>
      <x:c r="X8" s="65" t="n">
        <x:v>0</x:v>
      </x:c>
      <x:c r="Y8" s="65" t="n">
        <x:f>W8-X8</x:f>
        <x:v>3</x:v>
      </x:c>
      <x:c r="Z8" s="65" t="n">
        <x:v>0</x:v>
      </x:c>
      <x:c r="AA8" s="65" t="n">
        <x:f>Y8-Z8</x:f>
        <x:v>3</x:v>
      </x:c>
      <x:c r="AB8" s="65" t="n">
        <x:f>SUM(H8,J8,L8,N8,P8,R8,T8,V8,X8,Z8)</x:f>
        <x:v>0</x:v>
      </x:c>
      <x:c r="AC8" s="65" t="n">
        <x:f>AA8</x:f>
        <x:v>3</x:v>
      </x:c>
    </x:row>
    <x:row r="9" ht="15" hidden="0" customHeight="1">
      <x:c r="B9" s="64" t="str"/>
      <x:c r="C9" s="64" t="str"/>
      <x:c r="D9" s="64" t="str">
        <x:v>Ejecutar pruebas de integración del control de participantes</x:v>
      </x:c>
      <x:c r="E9" s="65" t="str">
        <x:v>Richard Diaz</x:v>
      </x:c>
      <x:c r="F9" s="65" t="str">
        <x:v>Por iniciar</x:v>
      </x:c>
      <x:c r="G9" s="65" t="n">
        <x:v>4</x:v>
      </x:c>
      <x:c r="H9" s="65" t="n">
        <x:v>0</x:v>
      </x:c>
      <x:c r="I9" s="65" t="n">
        <x:f>G9-H9</x:f>
        <x:v>4</x:v>
      </x:c>
      <x:c r="J9" s="65" t="n">
        <x:v>0</x:v>
      </x:c>
      <x:c r="K9" s="65" t="n">
        <x:f>I9-J9</x:f>
        <x:v>4</x:v>
      </x:c>
      <x:c r="L9" s="65" t="n">
        <x:v>0</x:v>
      </x:c>
      <x:c r="M9" s="65" t="n">
        <x:f>K9-L9</x:f>
        <x:v>4</x:v>
      </x:c>
      <x:c r="N9" s="65" t="n">
        <x:v>0</x:v>
      </x:c>
      <x:c r="O9" s="65" t="n">
        <x:f>M9-N9</x:f>
        <x:v>4</x:v>
      </x:c>
      <x:c r="P9" s="65" t="n">
        <x:v>0</x:v>
      </x:c>
      <x:c r="Q9" s="65" t="n">
        <x:f>O9-P9</x:f>
        <x:v>4</x:v>
      </x:c>
      <x:c r="R9" s="65" t="n">
        <x:v>0</x:v>
      </x:c>
      <x:c r="S9" s="65" t="n">
        <x:f>Q9-R9</x:f>
        <x:v>4</x:v>
      </x:c>
      <x:c r="T9" s="65" t="n">
        <x:v>0</x:v>
      </x:c>
      <x:c r="U9" s="65" t="n">
        <x:f>S9-T9</x:f>
        <x:v>4</x:v>
      </x:c>
      <x:c r="V9" s="65" t="n">
        <x:v>0</x:v>
      </x:c>
      <x:c r="W9" s="65" t="n">
        <x:f>U9-V9</x:f>
        <x:v>4</x:v>
      </x:c>
      <x:c r="X9" s="65" t="n">
        <x:v>0</x:v>
      </x:c>
      <x:c r="Y9" s="65" t="n">
        <x:f>W9-X9</x:f>
        <x:v>4</x:v>
      </x:c>
      <x:c r="Z9" s="65" t="n">
        <x:v>0</x:v>
      </x:c>
      <x:c r="AA9" s="65" t="n">
        <x:f>Y9-Z9</x:f>
        <x:v>4</x:v>
      </x:c>
      <x:c r="AB9" s="65" t="n">
        <x:f>SUM(H9,J9,L9,N9,P9,R9,T9,V9,X9,Z9)</x:f>
        <x:v>0</x:v>
      </x:c>
      <x:c r="AC9" s="65" t="n">
        <x:f>AA9</x:f>
        <x:v>4</x:v>
      </x:c>
    </x:row>
    <x:row r="10" ht="15" hidden="0" customHeight="1">
      <x:c r="B10" s="64" t="str"/>
      <x:c r="C10" s="64" t="str"/>
      <x:c r="D10" s="64" t="str">
        <x:v>Preparar datos de demostración para eventos y asistencia</x:v>
      </x:c>
      <x:c r="E10" s="65" t="str">
        <x:v>Ivan Tamayo</x:v>
      </x:c>
      <x:c r="F10" s="65" t="str">
        <x:v>Por iniciar</x:v>
      </x:c>
      <x:c r="G10" s="65" t="n">
        <x:v>2</x:v>
      </x:c>
      <x:c r="H10" s="65" t="n">
        <x:v>0</x:v>
      </x:c>
      <x:c r="I10" s="65" t="n">
        <x:f>G10-H10</x:f>
        <x:v>2</x:v>
      </x:c>
      <x:c r="J10" s="65" t="n">
        <x:v>0</x:v>
      </x:c>
      <x:c r="K10" s="65" t="n">
        <x:f>I10-J10</x:f>
        <x:v>2</x:v>
      </x:c>
      <x:c r="L10" s="65" t="n">
        <x:v>0</x:v>
      </x:c>
      <x:c r="M10" s="65" t="n">
        <x:f>K10-L10</x:f>
        <x:v>2</x:v>
      </x:c>
      <x:c r="N10" s="65" t="n">
        <x:v>0</x:v>
      </x:c>
      <x:c r="O10" s="65" t="n">
        <x:f>M10-N10</x:f>
        <x:v>2</x:v>
      </x:c>
      <x:c r="P10" s="65" t="n">
        <x:v>0</x:v>
      </x:c>
      <x:c r="Q10" s="65" t="n">
        <x:f>O10-P10</x:f>
        <x:v>2</x:v>
      </x:c>
      <x:c r="R10" s="65" t="n">
        <x:v>0</x:v>
      </x:c>
      <x:c r="S10" s="65" t="n">
        <x:f>Q10-R10</x:f>
        <x:v>2</x:v>
      </x:c>
      <x:c r="T10" s="65" t="n">
        <x:v>0</x:v>
      </x:c>
      <x:c r="U10" s="65" t="n">
        <x:f>S10-T10</x:f>
        <x:v>2</x:v>
      </x:c>
      <x:c r="V10" s="65" t="n">
        <x:v>0</x:v>
      </x:c>
      <x:c r="W10" s="65" t="n">
        <x:f>U10-V10</x:f>
        <x:v>2</x:v>
      </x:c>
      <x:c r="X10" s="65" t="n">
        <x:v>0</x:v>
      </x:c>
      <x:c r="Y10" s="65" t="n">
        <x:f>W10-X10</x:f>
        <x:v>2</x:v>
      </x:c>
      <x:c r="Z10" s="65" t="n">
        <x:v>0</x:v>
      </x:c>
      <x:c r="AA10" s="65" t="n">
        <x:f>Y10-Z10</x:f>
        <x:v>2</x:v>
      </x:c>
      <x:c r="AB10" s="65" t="n">
        <x:f>SUM(H10,J10,L10,N10,P10,R10,T10,V10,X10,Z10)</x:f>
        <x:v>0</x:v>
      </x:c>
      <x:c r="AC10" s="65" t="n">
        <x:f>AA10</x:f>
        <x:v>2</x:v>
      </x:c>
    </x:row>
    <x:row r="11" ht="32.400001525878906" hidden="0" customHeight="1">
      <x:c r="B11" s="63" t="str">
        <x:v>HU-10</x:v>
      </x:c>
      <x:c r="C11" s="63" t="str">
        <x:v>Como vecino, quiero enviar una consulta, reclamo o solicitud mediante la plataforma, para canalizar formalmente mis necesidades hacia la directiva.</x:v>
      </x:c>
      <x:c r="D11" s="64" t="str">
        <x:v>Modelar categorías y registro de consultas, reclamos y solicitudes</x:v>
      </x:c>
      <x:c r="E11" s="65" t="str">
        <x:v>Ivan Tamayo</x:v>
      </x:c>
      <x:c r="F11" s="65" t="str">
        <x:v>Por iniciar</x:v>
      </x:c>
      <x:c r="G11" s="65" t="n">
        <x:v>5</x:v>
      </x:c>
      <x:c r="H11" s="65" t="n">
        <x:v>0</x:v>
      </x:c>
      <x:c r="I11" s="65" t="n">
        <x:f>G11-H11</x:f>
        <x:v>5</x:v>
      </x:c>
      <x:c r="J11" s="65" t="n">
        <x:v>0</x:v>
      </x:c>
      <x:c r="K11" s="65" t="n">
        <x:f>I11-J11</x:f>
        <x:v>5</x:v>
      </x:c>
      <x:c r="L11" s="65" t="n">
        <x:v>0</x:v>
      </x:c>
      <x:c r="M11" s="65" t="n">
        <x:f>K11-L11</x:f>
        <x:v>5</x:v>
      </x:c>
      <x:c r="N11" s="65" t="n">
        <x:v>0</x:v>
      </x:c>
      <x:c r="O11" s="65" t="n">
        <x:f>M11-N11</x:f>
        <x:v>5</x:v>
      </x:c>
      <x:c r="P11" s="65" t="n">
        <x:v>0</x:v>
      </x:c>
      <x:c r="Q11" s="65" t="n">
        <x:f>O11-P11</x:f>
        <x:v>5</x:v>
      </x:c>
      <x:c r="R11" s="65" t="n">
        <x:v>0</x:v>
      </x:c>
      <x:c r="S11" s="65" t="n">
        <x:f>Q11-R11</x:f>
        <x:v>5</x:v>
      </x:c>
      <x:c r="T11" s="65" t="n">
        <x:v>0</x:v>
      </x:c>
      <x:c r="U11" s="65" t="n">
        <x:f>S11-T11</x:f>
        <x:v>5</x:v>
      </x:c>
      <x:c r="V11" s="65" t="n">
        <x:v>0</x:v>
      </x:c>
      <x:c r="W11" s="65" t="n">
        <x:f>U11-V11</x:f>
        <x:v>5</x:v>
      </x:c>
      <x:c r="X11" s="65" t="n">
        <x:v>0</x:v>
      </x:c>
      <x:c r="Y11" s="65" t="n">
        <x:f>W11-X11</x:f>
        <x:v>5</x:v>
      </x:c>
      <x:c r="Z11" s="65" t="n">
        <x:v>0</x:v>
      </x:c>
      <x:c r="AA11" s="65" t="n">
        <x:f>Y11-Z11</x:f>
        <x:v>5</x:v>
      </x:c>
      <x:c r="AB11" s="65" t="n">
        <x:f>SUM(H11,J11,L11,N11,P11,R11,T11,V11,X11,Z11)</x:f>
        <x:v>0</x:v>
      </x:c>
      <x:c r="AC11" s="65" t="n">
        <x:f>AA11</x:f>
        <x:v>5</x:v>
      </x:c>
    </x:row>
    <x:row r="12" ht="15" hidden="0" customHeight="1">
      <x:c r="B12" s="64" t="str"/>
      <x:c r="C12" s="64" t="str"/>
      <x:c r="D12" s="64" t="str">
        <x:v>Implementar endpoint para crear solicitudes vecinales</x:v>
      </x:c>
      <x:c r="E12" s="65" t="str">
        <x:v>Ivan Tamayo</x:v>
      </x:c>
      <x:c r="F12" s="65" t="str">
        <x:v>Por iniciar</x:v>
      </x:c>
      <x:c r="G12" s="65" t="n">
        <x:v>3</x:v>
      </x:c>
      <x:c r="H12" s="65" t="n">
        <x:v>0</x:v>
      </x:c>
      <x:c r="I12" s="65" t="n">
        <x:f>G12-H12</x:f>
        <x:v>3</x:v>
      </x:c>
      <x:c r="J12" s="65" t="n">
        <x:v>0</x:v>
      </x:c>
      <x:c r="K12" s="65" t="n">
        <x:f>I12-J12</x:f>
        <x:v>3</x:v>
      </x:c>
      <x:c r="L12" s="65" t="n">
        <x:v>0</x:v>
      </x:c>
      <x:c r="M12" s="65" t="n">
        <x:f>K12-L12</x:f>
        <x:v>3</x:v>
      </x:c>
      <x:c r="N12" s="65" t="n">
        <x:v>0</x:v>
      </x:c>
      <x:c r="O12" s="65" t="n">
        <x:f>M12-N12</x:f>
        <x:v>3</x:v>
      </x:c>
      <x:c r="P12" s="65" t="n">
        <x:v>0</x:v>
      </x:c>
      <x:c r="Q12" s="65" t="n">
        <x:f>O12-P12</x:f>
        <x:v>3</x:v>
      </x:c>
      <x:c r="R12" s="65" t="n">
        <x:v>0</x:v>
      </x:c>
      <x:c r="S12" s="65" t="n">
        <x:f>Q12-R12</x:f>
        <x:v>3</x:v>
      </x:c>
      <x:c r="T12" s="65" t="n">
        <x:v>0</x:v>
      </x:c>
      <x:c r="U12" s="65" t="n">
        <x:f>S12-T12</x:f>
        <x:v>3</x:v>
      </x:c>
      <x:c r="V12" s="65" t="n">
        <x:v>0</x:v>
      </x:c>
      <x:c r="W12" s="65" t="n">
        <x:f>U12-V12</x:f>
        <x:v>3</x:v>
      </x:c>
      <x:c r="X12" s="65" t="n">
        <x:v>0</x:v>
      </x:c>
      <x:c r="Y12" s="65" t="n">
        <x:f>W12-X12</x:f>
        <x:v>3</x:v>
      </x:c>
      <x:c r="Z12" s="65" t="n">
        <x:v>0</x:v>
      </x:c>
      <x:c r="AA12" s="65" t="n">
        <x:f>Y12-Z12</x:f>
        <x:v>3</x:v>
      </x:c>
      <x:c r="AB12" s="65" t="n">
        <x:f>SUM(H12,J12,L12,N12,P12,R12,T12,V12,X12,Z12)</x:f>
        <x:v>0</x:v>
      </x:c>
      <x:c r="AC12" s="65" t="n">
        <x:f>AA12</x:f>
        <x:v>3</x:v>
      </x:c>
    </x:row>
    <x:row r="13" ht="15" hidden="0" customHeight="1">
      <x:c r="B13" s="64" t="str"/>
      <x:c r="C13" s="64" t="str"/>
      <x:c r="D13" s="64" t="str">
        <x:v>Diseñar e implementar formulario de ingreso de solicitud</x:v>
      </x:c>
      <x:c r="E13" s="65" t="str">
        <x:v>Rodrigo Romero</x:v>
      </x:c>
      <x:c r="F13" s="65" t="str">
        <x:v>Por iniciar</x:v>
      </x:c>
      <x:c r="G13" s="65" t="n">
        <x:v>5</x:v>
      </x:c>
      <x:c r="H13" s="65" t="n">
        <x:v>0</x:v>
      </x:c>
      <x:c r="I13" s="65" t="n">
        <x:f>G13-H13</x:f>
        <x:v>5</x:v>
      </x:c>
      <x:c r="J13" s="65" t="n">
        <x:v>0</x:v>
      </x:c>
      <x:c r="K13" s="65" t="n">
        <x:f>I13-J13</x:f>
        <x:v>5</x:v>
      </x:c>
      <x:c r="L13" s="65" t="n">
        <x:v>0</x:v>
      </x:c>
      <x:c r="M13" s="65" t="n">
        <x:f>K13-L13</x:f>
        <x:v>5</x:v>
      </x:c>
      <x:c r="N13" s="65" t="n">
        <x:v>0</x:v>
      </x:c>
      <x:c r="O13" s="65" t="n">
        <x:f>M13-N13</x:f>
        <x:v>5</x:v>
      </x:c>
      <x:c r="P13" s="65" t="n">
        <x:v>0</x:v>
      </x:c>
      <x:c r="Q13" s="65" t="n">
        <x:f>O13-P13</x:f>
        <x:v>5</x:v>
      </x:c>
      <x:c r="R13" s="65" t="n">
        <x:v>0</x:v>
      </x:c>
      <x:c r="S13" s="65" t="n">
        <x:f>Q13-R13</x:f>
        <x:v>5</x:v>
      </x:c>
      <x:c r="T13" s="65" t="n">
        <x:v>0</x:v>
      </x:c>
      <x:c r="U13" s="65" t="n">
        <x:f>S13-T13</x:f>
        <x:v>5</x:v>
      </x:c>
      <x:c r="V13" s="65" t="n">
        <x:v>0</x:v>
      </x:c>
      <x:c r="W13" s="65" t="n">
        <x:f>U13-V13</x:f>
        <x:v>5</x:v>
      </x:c>
      <x:c r="X13" s="65" t="n">
        <x:v>0</x:v>
      </x:c>
      <x:c r="Y13" s="65" t="n">
        <x:f>W13-X13</x:f>
        <x:v>5</x:v>
      </x:c>
      <x:c r="Z13" s="65" t="n">
        <x:v>0</x:v>
      </x:c>
      <x:c r="AA13" s="65" t="n">
        <x:f>Y13-Z13</x:f>
        <x:v>5</x:v>
      </x:c>
      <x:c r="AB13" s="65" t="n">
        <x:f>SUM(H13,J13,L13,N13,P13,R13,T13,V13,X13,Z13)</x:f>
        <x:v>0</x:v>
      </x:c>
      <x:c r="AC13" s="65" t="n">
        <x:f>AA13</x:f>
        <x:v>5</x:v>
      </x:c>
    </x:row>
    <x:row r="14" ht="15" hidden="0" customHeight="1">
      <x:c r="B14" s="64" t="str"/>
      <x:c r="C14" s="64" t="str"/>
      <x:c r="D14" s="64" t="str">
        <x:v>Integrar archivos locales opcionales y confirmación de envío</x:v>
      </x:c>
      <x:c r="E14" s="65" t="str">
        <x:v>Rodrigo Romero</x:v>
      </x:c>
      <x:c r="F14" s="65" t="str">
        <x:v>Por iniciar</x:v>
      </x:c>
      <x:c r="G14" s="65" t="n">
        <x:v>3</x:v>
      </x:c>
      <x:c r="H14" s="65" t="n">
        <x:v>0</x:v>
      </x:c>
      <x:c r="I14" s="65" t="n">
        <x:f>G14-H14</x:f>
        <x:v>3</x:v>
      </x:c>
      <x:c r="J14" s="65" t="n">
        <x:v>0</x:v>
      </x:c>
      <x:c r="K14" s="65" t="n">
        <x:f>I14-J14</x:f>
        <x:v>3</x:v>
      </x:c>
      <x:c r="L14" s="65" t="n">
        <x:v>0</x:v>
      </x:c>
      <x:c r="M14" s="65" t="n">
        <x:f>K14-L14</x:f>
        <x:v>3</x:v>
      </x:c>
      <x:c r="N14" s="65" t="n">
        <x:v>0</x:v>
      </x:c>
      <x:c r="O14" s="65" t="n">
        <x:f>M14-N14</x:f>
        <x:v>3</x:v>
      </x:c>
      <x:c r="P14" s="65" t="n">
        <x:v>0</x:v>
      </x:c>
      <x:c r="Q14" s="65" t="n">
        <x:f>O14-P14</x:f>
        <x:v>3</x:v>
      </x:c>
      <x:c r="R14" s="65" t="n">
        <x:v>0</x:v>
      </x:c>
      <x:c r="S14" s="65" t="n">
        <x:f>Q14-R14</x:f>
        <x:v>3</x:v>
      </x:c>
      <x:c r="T14" s="65" t="n">
        <x:v>0</x:v>
      </x:c>
      <x:c r="U14" s="65" t="n">
        <x:f>S14-T14</x:f>
        <x:v>3</x:v>
      </x:c>
      <x:c r="V14" s="65" t="n">
        <x:v>0</x:v>
      </x:c>
      <x:c r="W14" s="65" t="n">
        <x:f>U14-V14</x:f>
        <x:v>3</x:v>
      </x:c>
      <x:c r="X14" s="65" t="n">
        <x:v>0</x:v>
      </x:c>
      <x:c r="Y14" s="65" t="n">
        <x:f>W14-X14</x:f>
        <x:v>3</x:v>
      </x:c>
      <x:c r="Z14" s="65" t="n">
        <x:v>0</x:v>
      </x:c>
      <x:c r="AA14" s="65" t="n">
        <x:f>Y14-Z14</x:f>
        <x:v>3</x:v>
      </x:c>
      <x:c r="AB14" s="65" t="n">
        <x:f>SUM(H14,J14,L14,N14,P14,R14,T14,V14,X14,Z14)</x:f>
        <x:v>0</x:v>
      </x:c>
      <x:c r="AC14" s="65" t="n">
        <x:f>AA14</x:f>
        <x:v>3</x:v>
      </x:c>
    </x:row>
    <x:row r="15" ht="15" hidden="0" customHeight="1">
      <x:c r="B15" s="64" t="str"/>
      <x:c r="C15" s="64" t="str"/>
      <x:c r="D15" s="64" t="str">
        <x:v>Ejecutar pruebas de validación, seguridad y envío exitoso</x:v>
      </x:c>
      <x:c r="E15" s="65" t="str">
        <x:v>Richard Diaz</x:v>
      </x:c>
      <x:c r="F15" s="65" t="str">
        <x:v>Por iniciar</x:v>
      </x:c>
      <x:c r="G15" s="65" t="n">
        <x:v>4</x:v>
      </x:c>
      <x:c r="H15" s="65" t="n">
        <x:v>0</x:v>
      </x:c>
      <x:c r="I15" s="65" t="n">
        <x:f>G15-H15</x:f>
        <x:v>4</x:v>
      </x:c>
      <x:c r="J15" s="65" t="n">
        <x:v>0</x:v>
      </x:c>
      <x:c r="K15" s="65" t="n">
        <x:f>I15-J15</x:f>
        <x:v>4</x:v>
      </x:c>
      <x:c r="L15" s="65" t="n">
        <x:v>0</x:v>
      </x:c>
      <x:c r="M15" s="65" t="n">
        <x:f>K15-L15</x:f>
        <x:v>4</x:v>
      </x:c>
      <x:c r="N15" s="65" t="n">
        <x:v>0</x:v>
      </x:c>
      <x:c r="O15" s="65" t="n">
        <x:f>M15-N15</x:f>
        <x:v>4</x:v>
      </x:c>
      <x:c r="P15" s="65" t="n">
        <x:v>0</x:v>
      </x:c>
      <x:c r="Q15" s="65" t="n">
        <x:f>O15-P15</x:f>
        <x:v>4</x:v>
      </x:c>
      <x:c r="R15" s="65" t="n">
        <x:v>0</x:v>
      </x:c>
      <x:c r="S15" s="65" t="n">
        <x:f>Q15-R15</x:f>
        <x:v>4</x:v>
      </x:c>
      <x:c r="T15" s="65" t="n">
        <x:v>0</x:v>
      </x:c>
      <x:c r="U15" s="65" t="n">
        <x:f>S15-T15</x:f>
        <x:v>4</x:v>
      </x:c>
      <x:c r="V15" s="65" t="n">
        <x:v>0</x:v>
      </x:c>
      <x:c r="W15" s="65" t="n">
        <x:f>U15-V15</x:f>
        <x:v>4</x:v>
      </x:c>
      <x:c r="X15" s="65" t="n">
        <x:v>0</x:v>
      </x:c>
      <x:c r="Y15" s="65" t="n">
        <x:f>W15-X15</x:f>
        <x:v>4</x:v>
      </x:c>
      <x:c r="Z15" s="65" t="n">
        <x:v>0</x:v>
      </x:c>
      <x:c r="AA15" s="65" t="n">
        <x:f>Y15-Z15</x:f>
        <x:v>4</x:v>
      </x:c>
      <x:c r="AB15" s="65" t="n">
        <x:f>SUM(H15,J15,L15,N15,P15,R15,T15,V15,X15,Z15)</x:f>
        <x:v>0</x:v>
      </x:c>
      <x:c r="AC15" s="65" t="n">
        <x:f>AA15</x:f>
        <x:v>4</x:v>
      </x:c>
    </x:row>
    <x:row r="16" ht="32.400001525878906" hidden="0" customHeight="1">
      <x:c r="B16" s="63" t="str">
        <x:v>HU-11</x:v>
      </x:c>
      <x:c r="C16" s="63" t="str">
        <x:v>Como integrante de la directiva, quiero revisar, asignar y actualizar las solicitudes enviadas por los vecinos, para entregar respuestas oportunas y mantener trazabilidad sobre cada caso.</x:v>
      </x:c>
      <x:c r="D16" s="64" t="str">
        <x:v>Implementar flujo de estados e historial de cambios de solicitudes</x:v>
      </x:c>
      <x:c r="E16" s="65" t="str">
        <x:v>Ivan Tamayo</x:v>
      </x:c>
      <x:c r="F16" s="65" t="str">
        <x:v>Por iniciar</x:v>
      </x:c>
      <x:c r="G16" s="65" t="n">
        <x:v>6</x:v>
      </x:c>
      <x:c r="H16" s="65" t="n">
        <x:v>0</x:v>
      </x:c>
      <x:c r="I16" s="65" t="n">
        <x:f>G16-H16</x:f>
        <x:v>6</x:v>
      </x:c>
      <x:c r="J16" s="65" t="n">
        <x:v>0</x:v>
      </x:c>
      <x:c r="K16" s="65" t="n">
        <x:f>I16-J16</x:f>
        <x:v>6</x:v>
      </x:c>
      <x:c r="L16" s="65" t="n">
        <x:v>0</x:v>
      </x:c>
      <x:c r="M16" s="65" t="n">
        <x:f>K16-L16</x:f>
        <x:v>6</x:v>
      </x:c>
      <x:c r="N16" s="65" t="n">
        <x:v>0</x:v>
      </x:c>
      <x:c r="O16" s="65" t="n">
        <x:f>M16-N16</x:f>
        <x:v>6</x:v>
      </x:c>
      <x:c r="P16" s="65" t="n">
        <x:v>0</x:v>
      </x:c>
      <x:c r="Q16" s="65" t="n">
        <x:f>O16-P16</x:f>
        <x:v>6</x:v>
      </x:c>
      <x:c r="R16" s="65" t="n">
        <x:v>0</x:v>
      </x:c>
      <x:c r="S16" s="65" t="n">
        <x:f>Q16-R16</x:f>
        <x:v>6</x:v>
      </x:c>
      <x:c r="T16" s="65" t="n">
        <x:v>0</x:v>
      </x:c>
      <x:c r="U16" s="65" t="n">
        <x:f>S16-T16</x:f>
        <x:v>6</x:v>
      </x:c>
      <x:c r="V16" s="65" t="n">
        <x:v>0</x:v>
      </x:c>
      <x:c r="W16" s="65" t="n">
        <x:f>U16-V16</x:f>
        <x:v>6</x:v>
      </x:c>
      <x:c r="X16" s="65" t="n">
        <x:v>0</x:v>
      </x:c>
      <x:c r="Y16" s="65" t="n">
        <x:f>W16-X16</x:f>
        <x:v>6</x:v>
      </x:c>
      <x:c r="Z16" s="65" t="n">
        <x:v>0</x:v>
      </x:c>
      <x:c r="AA16" s="65" t="n">
        <x:f>Y16-Z16</x:f>
        <x:v>6</x:v>
      </x:c>
      <x:c r="AB16" s="65" t="n">
        <x:f>SUM(H16,J16,L16,N16,P16,R16,T16,V16,X16,Z16)</x:f>
        <x:v>0</x:v>
      </x:c>
      <x:c r="AC16" s="65" t="n">
        <x:f>AA16</x:f>
        <x:v>6</x:v>
      </x:c>
    </x:row>
    <x:row r="17" ht="15" hidden="0" customHeight="1">
      <x:c r="B17" s="64" t="str"/>
      <x:c r="C17" s="64" t="str"/>
      <x:c r="D17" s="64" t="str">
        <x:v>Implementar APIs de listado, detalle, asignación y actualización</x:v>
      </x:c>
      <x:c r="E17" s="65" t="str">
        <x:v>Ivan Tamayo</x:v>
      </x:c>
      <x:c r="F17" s="65" t="str">
        <x:v>Por iniciar</x:v>
      </x:c>
      <x:c r="G17" s="65" t="n">
        <x:v>6</x:v>
      </x:c>
      <x:c r="H17" s="65" t="n">
        <x:v>0</x:v>
      </x:c>
      <x:c r="I17" s="65" t="n">
        <x:f>G17-H17</x:f>
        <x:v>6</x:v>
      </x:c>
      <x:c r="J17" s="65" t="n">
        <x:v>0</x:v>
      </x:c>
      <x:c r="K17" s="65" t="n">
        <x:f>I17-J17</x:f>
        <x:v>6</x:v>
      </x:c>
      <x:c r="L17" s="65" t="n">
        <x:v>0</x:v>
      </x:c>
      <x:c r="M17" s="65" t="n">
        <x:f>K17-L17</x:f>
        <x:v>6</x:v>
      </x:c>
      <x:c r="N17" s="65" t="n">
        <x:v>0</x:v>
      </x:c>
      <x:c r="O17" s="65" t="n">
        <x:f>M17-N17</x:f>
        <x:v>6</x:v>
      </x:c>
      <x:c r="P17" s="65" t="n">
        <x:v>0</x:v>
      </x:c>
      <x:c r="Q17" s="65" t="n">
        <x:f>O17-P17</x:f>
        <x:v>6</x:v>
      </x:c>
      <x:c r="R17" s="65" t="n">
        <x:v>0</x:v>
      </x:c>
      <x:c r="S17" s="65" t="n">
        <x:f>Q17-R17</x:f>
        <x:v>6</x:v>
      </x:c>
      <x:c r="T17" s="65" t="n">
        <x:v>0</x:v>
      </x:c>
      <x:c r="U17" s="65" t="n">
        <x:f>S17-T17</x:f>
        <x:v>6</x:v>
      </x:c>
      <x:c r="V17" s="65" t="n">
        <x:v>0</x:v>
      </x:c>
      <x:c r="W17" s="65" t="n">
        <x:f>U17-V17</x:f>
        <x:v>6</x:v>
      </x:c>
      <x:c r="X17" s="65" t="n">
        <x:v>0</x:v>
      </x:c>
      <x:c r="Y17" s="65" t="n">
        <x:f>W17-X17</x:f>
        <x:v>6</x:v>
      </x:c>
      <x:c r="Z17" s="65" t="n">
        <x:v>0</x:v>
      </x:c>
      <x:c r="AA17" s="65" t="n">
        <x:f>Y17-Z17</x:f>
        <x:v>6</x:v>
      </x:c>
      <x:c r="AB17" s="65" t="n">
        <x:f>SUM(H17,J17,L17,N17,P17,R17,T17,V17,X17,Z17)</x:f>
        <x:v>0</x:v>
      </x:c>
      <x:c r="AC17" s="65" t="n">
        <x:f>AA17</x:f>
        <x:v>6</x:v>
      </x:c>
    </x:row>
    <x:row r="18" ht="15" hidden="0" customHeight="1">
      <x:c r="B18" s="64" t="str"/>
      <x:c r="C18" s="64" t="str"/>
      <x:c r="D18" s="64" t="str">
        <x:v>Diseñar e implementar listado, filtros y detalle para la directiva</x:v>
      </x:c>
      <x:c r="E18" s="65" t="str">
        <x:v>Rodrigo Romero</x:v>
      </x:c>
      <x:c r="F18" s="65" t="str">
        <x:v>Por iniciar</x:v>
      </x:c>
      <x:c r="G18" s="65" t="n">
        <x:v>7</x:v>
      </x:c>
      <x:c r="H18" s="65" t="n">
        <x:v>0</x:v>
      </x:c>
      <x:c r="I18" s="65" t="n">
        <x:f>G18-H18</x:f>
        <x:v>7</x:v>
      </x:c>
      <x:c r="J18" s="65" t="n">
        <x:v>0</x:v>
      </x:c>
      <x:c r="K18" s="65" t="n">
        <x:f>I18-J18</x:f>
        <x:v>7</x:v>
      </x:c>
      <x:c r="L18" s="65" t="n">
        <x:v>0</x:v>
      </x:c>
      <x:c r="M18" s="65" t="n">
        <x:f>K18-L18</x:f>
        <x:v>7</x:v>
      </x:c>
      <x:c r="N18" s="65" t="n">
        <x:v>0</x:v>
      </x:c>
      <x:c r="O18" s="65" t="n">
        <x:f>M18-N18</x:f>
        <x:v>7</x:v>
      </x:c>
      <x:c r="P18" s="65" t="n">
        <x:v>0</x:v>
      </x:c>
      <x:c r="Q18" s="65" t="n">
        <x:f>O18-P18</x:f>
        <x:v>7</x:v>
      </x:c>
      <x:c r="R18" s="65" t="n">
        <x:v>0</x:v>
      </x:c>
      <x:c r="S18" s="65" t="n">
        <x:f>Q18-R18</x:f>
        <x:v>7</x:v>
      </x:c>
      <x:c r="T18" s="65" t="n">
        <x:v>0</x:v>
      </x:c>
      <x:c r="U18" s="65" t="n">
        <x:f>S18-T18</x:f>
        <x:v>7</x:v>
      </x:c>
      <x:c r="V18" s="65" t="n">
        <x:v>0</x:v>
      </x:c>
      <x:c r="W18" s="65" t="n">
        <x:f>U18-V18</x:f>
        <x:v>7</x:v>
      </x:c>
      <x:c r="X18" s="65" t="n">
        <x:v>0</x:v>
      </x:c>
      <x:c r="Y18" s="65" t="n">
        <x:f>W18-X18</x:f>
        <x:v>7</x:v>
      </x:c>
      <x:c r="Z18" s="65" t="n">
        <x:v>0</x:v>
      </x:c>
      <x:c r="AA18" s="65" t="n">
        <x:f>Y18-Z18</x:f>
        <x:v>7</x:v>
      </x:c>
      <x:c r="AB18" s="65" t="n">
        <x:f>SUM(H18,J18,L18,N18,P18,R18,T18,V18,X18,Z18)</x:f>
        <x:v>0</x:v>
      </x:c>
      <x:c r="AC18" s="65" t="n">
        <x:f>AA18</x:f>
        <x:v>7</x:v>
      </x:c>
    </x:row>
    <x:row r="19" ht="15" hidden="0" customHeight="1">
      <x:c r="B19" s="64" t="str"/>
      <x:c r="C19" s="64" t="str"/>
      <x:c r="D19" s="64" t="str">
        <x:v>Implementar actualización de estado, responsable y respuesta</x:v>
      </x:c>
      <x:c r="E19" s="65" t="str">
        <x:v>Rodrigo Romero</x:v>
      </x:c>
      <x:c r="F19" s="65" t="str">
        <x:v>Por iniciar</x:v>
      </x:c>
      <x:c r="G19" s="65" t="n">
        <x:v>5</x:v>
      </x:c>
      <x:c r="H19" s="65" t="n">
        <x:v>0</x:v>
      </x:c>
      <x:c r="I19" s="65" t="n">
        <x:f>G19-H19</x:f>
        <x:v>5</x:v>
      </x:c>
      <x:c r="J19" s="65" t="n">
        <x:v>0</x:v>
      </x:c>
      <x:c r="K19" s="65" t="n">
        <x:f>I19-J19</x:f>
        <x:v>5</x:v>
      </x:c>
      <x:c r="L19" s="65" t="n">
        <x:v>0</x:v>
      </x:c>
      <x:c r="M19" s="65" t="n">
        <x:f>K19-L19</x:f>
        <x:v>5</x:v>
      </x:c>
      <x:c r="N19" s="65" t="n">
        <x:v>0</x:v>
      </x:c>
      <x:c r="O19" s="65" t="n">
        <x:f>M19-N19</x:f>
        <x:v>5</x:v>
      </x:c>
      <x:c r="P19" s="65" t="n">
        <x:v>0</x:v>
      </x:c>
      <x:c r="Q19" s="65" t="n">
        <x:f>O19-P19</x:f>
        <x:v>5</x:v>
      </x:c>
      <x:c r="R19" s="65" t="n">
        <x:v>0</x:v>
      </x:c>
      <x:c r="S19" s="65" t="n">
        <x:f>Q19-R19</x:f>
        <x:v>5</x:v>
      </x:c>
      <x:c r="T19" s="65" t="n">
        <x:v>0</x:v>
      </x:c>
      <x:c r="U19" s="65" t="n">
        <x:f>S19-T19</x:f>
        <x:v>5</x:v>
      </x:c>
      <x:c r="V19" s="65" t="n">
        <x:v>0</x:v>
      </x:c>
      <x:c r="W19" s="65" t="n">
        <x:f>U19-V19</x:f>
        <x:v>5</x:v>
      </x:c>
      <x:c r="X19" s="65" t="n">
        <x:v>0</x:v>
      </x:c>
      <x:c r="Y19" s="65" t="n">
        <x:f>W19-X19</x:f>
        <x:v>5</x:v>
      </x:c>
      <x:c r="Z19" s="65" t="n">
        <x:v>0</x:v>
      </x:c>
      <x:c r="AA19" s="65" t="n">
        <x:f>Y19-Z19</x:f>
        <x:v>5</x:v>
      </x:c>
      <x:c r="AB19" s="65" t="n">
        <x:f>SUM(H19,J19,L19,N19,P19,R19,T19,V19,X19,Z19)</x:f>
        <x:v>0</x:v>
      </x:c>
      <x:c r="AC19" s="65" t="n">
        <x:f>AA19</x:f>
        <x:v>5</x:v>
      </x:c>
    </x:row>
    <x:row r="20" ht="15" hidden="0" customHeight="1">
      <x:c r="B20" s="64" t="str"/>
      <x:c r="C20" s="64" t="str"/>
      <x:c r="D20" s="64" t="str">
        <x:v>Probar permisos, historial y trazabilidad de cambios</x:v>
      </x:c>
      <x:c r="E20" s="65" t="str">
        <x:v>Richard Diaz</x:v>
      </x:c>
      <x:c r="F20" s="65" t="str">
        <x:v>Por iniciar</x:v>
      </x:c>
      <x:c r="G20" s="65" t="n">
        <x:v>4</x:v>
      </x:c>
      <x:c r="H20" s="65" t="n">
        <x:v>0</x:v>
      </x:c>
      <x:c r="I20" s="65" t="n">
        <x:f>G20-H20</x:f>
        <x:v>4</x:v>
      </x:c>
      <x:c r="J20" s="65" t="n">
        <x:v>0</x:v>
      </x:c>
      <x:c r="K20" s="65" t="n">
        <x:f>I20-J20</x:f>
        <x:v>4</x:v>
      </x:c>
      <x:c r="L20" s="65" t="n">
        <x:v>0</x:v>
      </x:c>
      <x:c r="M20" s="65" t="n">
        <x:f>K20-L20</x:f>
        <x:v>4</x:v>
      </x:c>
      <x:c r="N20" s="65" t="n">
        <x:v>0</x:v>
      </x:c>
      <x:c r="O20" s="65" t="n">
        <x:f>M20-N20</x:f>
        <x:v>4</x:v>
      </x:c>
      <x:c r="P20" s="65" t="n">
        <x:v>0</x:v>
      </x:c>
      <x:c r="Q20" s="65" t="n">
        <x:f>O20-P20</x:f>
        <x:v>4</x:v>
      </x:c>
      <x:c r="R20" s="65" t="n">
        <x:v>0</x:v>
      </x:c>
      <x:c r="S20" s="65" t="n">
        <x:f>Q20-R20</x:f>
        <x:v>4</x:v>
      </x:c>
      <x:c r="T20" s="65" t="n">
        <x:v>0</x:v>
      </x:c>
      <x:c r="U20" s="65" t="n">
        <x:f>S20-T20</x:f>
        <x:v>4</x:v>
      </x:c>
      <x:c r="V20" s="65" t="n">
        <x:v>0</x:v>
      </x:c>
      <x:c r="W20" s="65" t="n">
        <x:f>U20-V20</x:f>
        <x:v>4</x:v>
      </x:c>
      <x:c r="X20" s="65" t="n">
        <x:v>0</x:v>
      </x:c>
      <x:c r="Y20" s="65" t="n">
        <x:f>W20-X20</x:f>
        <x:v>4</x:v>
      </x:c>
      <x:c r="Z20" s="65" t="n">
        <x:v>0</x:v>
      </x:c>
      <x:c r="AA20" s="65" t="n">
        <x:f>Y20-Z20</x:f>
        <x:v>4</x:v>
      </x:c>
      <x:c r="AB20" s="65" t="n">
        <x:f>SUM(H20,J20,L20,N20,P20,R20,T20,V20,X20,Z20)</x:f>
        <x:v>0</x:v>
      </x:c>
      <x:c r="AC20" s="65" t="n">
        <x:f>AA20</x:f>
        <x:v>4</x:v>
      </x:c>
    </x:row>
    <x:row r="21" ht="21.600000381469727" hidden="0" customHeight="1">
      <x:c r="B21" s="64" t="str"/>
      <x:c r="C21" s="64" t="str"/>
      <x:c r="D21" s="64" t="str">
        <x:v>Ejecutar pruebas funcionales de gestión completa de solicitudes</x:v>
      </x:c>
      <x:c r="E21" s="65" t="str">
        <x:v>Richard Diaz</x:v>
      </x:c>
      <x:c r="F21" s="65" t="str">
        <x:v>Por iniciar</x:v>
      </x:c>
      <x:c r="G21" s="65" t="n">
        <x:v>4</x:v>
      </x:c>
      <x:c r="H21" s="65" t="n">
        <x:v>0</x:v>
      </x:c>
      <x:c r="I21" s="65" t="n">
        <x:f>G21-H21</x:f>
        <x:v>4</x:v>
      </x:c>
      <x:c r="J21" s="65" t="n">
        <x:v>0</x:v>
      </x:c>
      <x:c r="K21" s="65" t="n">
        <x:f>I21-J21</x:f>
        <x:v>4</x:v>
      </x:c>
      <x:c r="L21" s="65" t="n">
        <x:v>0</x:v>
      </x:c>
      <x:c r="M21" s="65" t="n">
        <x:f>K21-L21</x:f>
        <x:v>4</x:v>
      </x:c>
      <x:c r="N21" s="65" t="n">
        <x:v>0</x:v>
      </x:c>
      <x:c r="O21" s="65" t="n">
        <x:f>M21-N21</x:f>
        <x:v>4</x:v>
      </x:c>
      <x:c r="P21" s="65" t="n">
        <x:v>0</x:v>
      </x:c>
      <x:c r="Q21" s="65" t="n">
        <x:f>O21-P21</x:f>
        <x:v>4</x:v>
      </x:c>
      <x:c r="R21" s="65" t="n">
        <x:v>0</x:v>
      </x:c>
      <x:c r="S21" s="65" t="n">
        <x:f>Q21-R21</x:f>
        <x:v>4</x:v>
      </x:c>
      <x:c r="T21" s="65" t="n">
        <x:v>0</x:v>
      </x:c>
      <x:c r="U21" s="65" t="n">
        <x:f>S21-T21</x:f>
        <x:v>4</x:v>
      </x:c>
      <x:c r="V21" s="65" t="n">
        <x:v>0</x:v>
      </x:c>
      <x:c r="W21" s="65" t="n">
        <x:f>U21-V21</x:f>
        <x:v>4</x:v>
      </x:c>
      <x:c r="X21" s="65" t="n">
        <x:v>0</x:v>
      </x:c>
      <x:c r="Y21" s="65" t="n">
        <x:f>W21-X21</x:f>
        <x:v>4</x:v>
      </x:c>
      <x:c r="Z21" s="65" t="n">
        <x:v>0</x:v>
      </x:c>
      <x:c r="AA21" s="65" t="n">
        <x:f>Y21-Z21</x:f>
        <x:v>4</x:v>
      </x:c>
      <x:c r="AB21" s="65" t="n">
        <x:f>SUM(H21,J21,L21,N21,P21,R21,T21,V21,X21,Z21)</x:f>
        <x:v>0</x:v>
      </x:c>
      <x:c r="AC21" s="65" t="n">
        <x:f>AA21</x:f>
        <x:v>4</x:v>
      </x:c>
    </x:row>
    <x:row r="22" ht="32.400001525878906" hidden="0" customHeight="1">
      <x:c r="B22" s="63" t="str">
        <x:v>HU-12</x:v>
      </x:c>
      <x:c r="C22" s="63" t="str">
        <x:v>Como vecino, quiero solicitar documentos disponibles en mi junta de vecinos para obtenerlos mediante la plataforma, mientras la directiva puede revisar y gestionar cada solicitud.</x:v>
      </x:c>
      <x:c r="D22" s="64" t="str">
        <x:v>Modelar tipos, estados y solicitudes de documentos</x:v>
      </x:c>
      <x:c r="E22" s="65" t="str">
        <x:v>Ivan Tamayo</x:v>
      </x:c>
      <x:c r="F22" s="65" t="str">
        <x:v>Por iniciar</x:v>
      </x:c>
      <x:c r="G22" s="65" t="n">
        <x:v>5</x:v>
      </x:c>
      <x:c r="H22" s="65" t="n">
        <x:v>0</x:v>
      </x:c>
      <x:c r="I22" s="65" t="n">
        <x:f>G22-H22</x:f>
        <x:v>5</x:v>
      </x:c>
      <x:c r="J22" s="65" t="n">
        <x:v>0</x:v>
      </x:c>
      <x:c r="K22" s="65" t="n">
        <x:f>I22-J22</x:f>
        <x:v>5</x:v>
      </x:c>
      <x:c r="L22" s="65" t="n">
        <x:v>0</x:v>
      </x:c>
      <x:c r="M22" s="65" t="n">
        <x:f>K22-L22</x:f>
        <x:v>5</x:v>
      </x:c>
      <x:c r="N22" s="65" t="n">
        <x:v>0</x:v>
      </x:c>
      <x:c r="O22" s="65" t="n">
        <x:f>M22-N22</x:f>
        <x:v>5</x:v>
      </x:c>
      <x:c r="P22" s="65" t="n">
        <x:v>0</x:v>
      </x:c>
      <x:c r="Q22" s="65" t="n">
        <x:f>O22-P22</x:f>
        <x:v>5</x:v>
      </x:c>
      <x:c r="R22" s="65" t="n">
        <x:v>0</x:v>
      </x:c>
      <x:c r="S22" s="65" t="n">
        <x:f>Q22-R22</x:f>
        <x:v>5</x:v>
      </x:c>
      <x:c r="T22" s="65" t="n">
        <x:v>0</x:v>
      </x:c>
      <x:c r="U22" s="65" t="n">
        <x:f>S22-T22</x:f>
        <x:v>5</x:v>
      </x:c>
      <x:c r="V22" s="65" t="n">
        <x:v>0</x:v>
      </x:c>
      <x:c r="W22" s="65" t="n">
        <x:f>U22-V22</x:f>
        <x:v>5</x:v>
      </x:c>
      <x:c r="X22" s="65" t="n">
        <x:v>0</x:v>
      </x:c>
      <x:c r="Y22" s="65" t="n">
        <x:f>W22-X22</x:f>
        <x:v>5</x:v>
      </x:c>
      <x:c r="Z22" s="65" t="n">
        <x:v>0</x:v>
      </x:c>
      <x:c r="AA22" s="65" t="n">
        <x:f>Y22-Z22</x:f>
        <x:v>5</x:v>
      </x:c>
      <x:c r="AB22" s="65" t="n">
        <x:f>SUM(H22,J22,L22,N22,P22,R22,T22,V22,X22,Z22)</x:f>
        <x:v>0</x:v>
      </x:c>
      <x:c r="AC22" s="65" t="n">
        <x:f>AA22</x:f>
        <x:v>5</x:v>
      </x:c>
    </x:row>
    <x:row r="23" ht="21.600000381469727" hidden="0" customHeight="1">
      <x:c r="B23" s="64" t="str"/>
      <x:c r="C23" s="64" t="str"/>
      <x:c r="D23" s="64" t="str">
        <x:v>Implementar APIs de solicitud, revisión, aprobación y archivo local</x:v>
      </x:c>
      <x:c r="E23" s="65" t="str">
        <x:v>Ivan Tamayo</x:v>
      </x:c>
      <x:c r="F23" s="65" t="str">
        <x:v>Por iniciar</x:v>
      </x:c>
      <x:c r="G23" s="65" t="n">
        <x:v>7</x:v>
      </x:c>
      <x:c r="H23" s="65" t="n">
        <x:v>0</x:v>
      </x:c>
      <x:c r="I23" s="65" t="n">
        <x:f>G23-H23</x:f>
        <x:v>7</x:v>
      </x:c>
      <x:c r="J23" s="65" t="n">
        <x:v>0</x:v>
      </x:c>
      <x:c r="K23" s="65" t="n">
        <x:f>I23-J23</x:f>
        <x:v>7</x:v>
      </x:c>
      <x:c r="L23" s="65" t="n">
        <x:v>0</x:v>
      </x:c>
      <x:c r="M23" s="65" t="n">
        <x:f>K23-L23</x:f>
        <x:v>7</x:v>
      </x:c>
      <x:c r="N23" s="65" t="n">
        <x:v>0</x:v>
      </x:c>
      <x:c r="O23" s="65" t="n">
        <x:f>M23-N23</x:f>
        <x:v>7</x:v>
      </x:c>
      <x:c r="P23" s="65" t="n">
        <x:v>0</x:v>
      </x:c>
      <x:c r="Q23" s="65" t="n">
        <x:f>O23-P23</x:f>
        <x:v>7</x:v>
      </x:c>
      <x:c r="R23" s="65" t="n">
        <x:v>0</x:v>
      </x:c>
      <x:c r="S23" s="65" t="n">
        <x:f>Q23-R23</x:f>
        <x:v>7</x:v>
      </x:c>
      <x:c r="T23" s="65" t="n">
        <x:v>0</x:v>
      </x:c>
      <x:c r="U23" s="65" t="n">
        <x:f>S23-T23</x:f>
        <x:v>7</x:v>
      </x:c>
      <x:c r="V23" s="65" t="n">
        <x:v>0</x:v>
      </x:c>
      <x:c r="W23" s="65" t="n">
        <x:f>U23-V23</x:f>
        <x:v>7</x:v>
      </x:c>
      <x:c r="X23" s="65" t="n">
        <x:v>0</x:v>
      </x:c>
      <x:c r="Y23" s="65" t="n">
        <x:f>W23-X23</x:f>
        <x:v>7</x:v>
      </x:c>
      <x:c r="Z23" s="65" t="n">
        <x:v>0</x:v>
      </x:c>
      <x:c r="AA23" s="65" t="n">
        <x:f>Y23-Z23</x:f>
        <x:v>7</x:v>
      </x:c>
      <x:c r="AB23" s="65" t="n">
        <x:f>SUM(H23,J23,L23,N23,P23,R23,T23,V23,X23,Z23)</x:f>
        <x:v>0</x:v>
      </x:c>
      <x:c r="AC23" s="65" t="n">
        <x:f>AA23</x:f>
        <x:v>7</x:v>
      </x:c>
    </x:row>
    <x:row r="24" ht="21.600000381469727" hidden="0" customHeight="1">
      <x:c r="B24" s="64" t="str"/>
      <x:c r="C24" s="64" t="str"/>
      <x:c r="D24" s="64" t="str">
        <x:v>Diseñar e implementar vista del vecino para solicitar y consultar estado</x:v>
      </x:c>
      <x:c r="E24" s="65" t="str">
        <x:v>Rodrigo Romero</x:v>
      </x:c>
      <x:c r="F24" s="65" t="str">
        <x:v>Por iniciar</x:v>
      </x:c>
      <x:c r="G24" s="65" t="n">
        <x:v>7</x:v>
      </x:c>
      <x:c r="H24" s="65" t="n">
        <x:v>0</x:v>
      </x:c>
      <x:c r="I24" s="65" t="n">
        <x:f>G24-H24</x:f>
        <x:v>7</x:v>
      </x:c>
      <x:c r="J24" s="65" t="n">
        <x:v>0</x:v>
      </x:c>
      <x:c r="K24" s="65" t="n">
        <x:f>I24-J24</x:f>
        <x:v>7</x:v>
      </x:c>
      <x:c r="L24" s="65" t="n">
        <x:v>0</x:v>
      </x:c>
      <x:c r="M24" s="65" t="n">
        <x:f>K24-L24</x:f>
        <x:v>7</x:v>
      </x:c>
      <x:c r="N24" s="65" t="n">
        <x:v>0</x:v>
      </x:c>
      <x:c r="O24" s="65" t="n">
        <x:f>M24-N24</x:f>
        <x:v>7</x:v>
      </x:c>
      <x:c r="P24" s="65" t="n">
        <x:v>0</x:v>
      </x:c>
      <x:c r="Q24" s="65" t="n">
        <x:f>O24-P24</x:f>
        <x:v>7</x:v>
      </x:c>
      <x:c r="R24" s="65" t="n">
        <x:v>0</x:v>
      </x:c>
      <x:c r="S24" s="65" t="n">
        <x:f>Q24-R24</x:f>
        <x:v>7</x:v>
      </x:c>
      <x:c r="T24" s="65" t="n">
        <x:v>0</x:v>
      </x:c>
      <x:c r="U24" s="65" t="n">
        <x:f>S24-T24</x:f>
        <x:v>7</x:v>
      </x:c>
      <x:c r="V24" s="65" t="n">
        <x:v>0</x:v>
      </x:c>
      <x:c r="W24" s="65" t="n">
        <x:f>U24-V24</x:f>
        <x:v>7</x:v>
      </x:c>
      <x:c r="X24" s="65" t="n">
        <x:v>0</x:v>
      </x:c>
      <x:c r="Y24" s="65" t="n">
        <x:f>W24-X24</x:f>
        <x:v>7</x:v>
      </x:c>
      <x:c r="Z24" s="65" t="n">
        <x:v>0</x:v>
      </x:c>
      <x:c r="AA24" s="65" t="n">
        <x:f>Y24-Z24</x:f>
        <x:v>7</x:v>
      </x:c>
      <x:c r="AB24" s="65" t="n">
        <x:f>SUM(H24,J24,L24,N24,P24,R24,T24,V24,X24,Z24)</x:f>
        <x:v>0</x:v>
      </x:c>
      <x:c r="AC24" s="65" t="n">
        <x:f>AA24</x:f>
        <x:v>7</x:v>
      </x:c>
    </x:row>
    <x:row r="25" ht="21.600000381469727" hidden="0" customHeight="1">
      <x:c r="B25" s="64" t="str"/>
      <x:c r="C25" s="64" t="str"/>
      <x:c r="D25" s="64" t="str">
        <x:v>Diseñar e implementar gestión de solicitudes documentales para la directiva</x:v>
      </x:c>
      <x:c r="E25" s="65" t="str">
        <x:v>Rodrigo Romero</x:v>
      </x:c>
      <x:c r="F25" s="65" t="str">
        <x:v>Por iniciar</x:v>
      </x:c>
      <x:c r="G25" s="65" t="n">
        <x:v>5</x:v>
      </x:c>
      <x:c r="H25" s="65" t="n">
        <x:v>0</x:v>
      </x:c>
      <x:c r="I25" s="65" t="n">
        <x:f>G25-H25</x:f>
        <x:v>5</x:v>
      </x:c>
      <x:c r="J25" s="65" t="n">
        <x:v>0</x:v>
      </x:c>
      <x:c r="K25" s="65" t="n">
        <x:f>I25-J25</x:f>
        <x:v>5</x:v>
      </x:c>
      <x:c r="L25" s="65" t="n">
        <x:v>0</x:v>
      </x:c>
      <x:c r="M25" s="65" t="n">
        <x:f>K25-L25</x:f>
        <x:v>5</x:v>
      </x:c>
      <x:c r="N25" s="65" t="n">
        <x:v>0</x:v>
      </x:c>
      <x:c r="O25" s="65" t="n">
        <x:f>M25-N25</x:f>
        <x:v>5</x:v>
      </x:c>
      <x:c r="P25" s="65" t="n">
        <x:v>0</x:v>
      </x:c>
      <x:c r="Q25" s="65" t="n">
        <x:f>O25-P25</x:f>
        <x:v>5</x:v>
      </x:c>
      <x:c r="R25" s="65" t="n">
        <x:v>0</x:v>
      </x:c>
      <x:c r="S25" s="65" t="n">
        <x:f>Q25-R25</x:f>
        <x:v>5</x:v>
      </x:c>
      <x:c r="T25" s="65" t="n">
        <x:v>0</x:v>
      </x:c>
      <x:c r="U25" s="65" t="n">
        <x:f>S25-T25</x:f>
        <x:v>5</x:v>
      </x:c>
      <x:c r="V25" s="65" t="n">
        <x:v>0</x:v>
      </x:c>
      <x:c r="W25" s="65" t="n">
        <x:f>U25-V25</x:f>
        <x:v>5</x:v>
      </x:c>
      <x:c r="X25" s="65" t="n">
        <x:v>0</x:v>
      </x:c>
      <x:c r="Y25" s="65" t="n">
        <x:f>W25-X25</x:f>
        <x:v>5</x:v>
      </x:c>
      <x:c r="Z25" s="65" t="n">
        <x:v>0</x:v>
      </x:c>
      <x:c r="AA25" s="65" t="n">
        <x:f>Y25-Z25</x:f>
        <x:v>5</x:v>
      </x:c>
      <x:c r="AB25" s="65" t="n">
        <x:f>SUM(H25,J25,L25,N25,P25,R25,T25,V25,X25,Z25)</x:f>
        <x:v>0</x:v>
      </x:c>
      <x:c r="AC25" s="65" t="n">
        <x:f>AA25</x:f>
        <x:v>5</x:v>
      </x:c>
    </x:row>
    <x:row r="26" ht="15" hidden="0" customHeight="1">
      <x:c r="B26" s="64" t="str"/>
      <x:c r="C26" s="64" t="str"/>
      <x:c r="D26" s="64" t="str">
        <x:v>Probar permisos, archivos y descarga autorizada</x:v>
      </x:c>
      <x:c r="E26" s="65" t="str">
        <x:v>Richard Diaz</x:v>
      </x:c>
      <x:c r="F26" s="65" t="str">
        <x:v>Por iniciar</x:v>
      </x:c>
      <x:c r="G26" s="65" t="n">
        <x:v>4</x:v>
      </x:c>
      <x:c r="H26" s="65" t="n">
        <x:v>0</x:v>
      </x:c>
      <x:c r="I26" s="65" t="n">
        <x:f>G26-H26</x:f>
        <x:v>4</x:v>
      </x:c>
      <x:c r="J26" s="65" t="n">
        <x:v>0</x:v>
      </x:c>
      <x:c r="K26" s="65" t="n">
        <x:f>I26-J26</x:f>
        <x:v>4</x:v>
      </x:c>
      <x:c r="L26" s="65" t="n">
        <x:v>0</x:v>
      </x:c>
      <x:c r="M26" s="65" t="n">
        <x:f>K26-L26</x:f>
        <x:v>4</x:v>
      </x:c>
      <x:c r="N26" s="65" t="n">
        <x:v>0</x:v>
      </x:c>
      <x:c r="O26" s="65" t="n">
        <x:f>M26-N26</x:f>
        <x:v>4</x:v>
      </x:c>
      <x:c r="P26" s="65" t="n">
        <x:v>0</x:v>
      </x:c>
      <x:c r="Q26" s="65" t="n">
        <x:f>O26-P26</x:f>
        <x:v>4</x:v>
      </x:c>
      <x:c r="R26" s="65" t="n">
        <x:v>0</x:v>
      </x:c>
      <x:c r="S26" s="65" t="n">
        <x:f>Q26-R26</x:f>
        <x:v>4</x:v>
      </x:c>
      <x:c r="T26" s="65" t="n">
        <x:v>0</x:v>
      </x:c>
      <x:c r="U26" s="65" t="n">
        <x:f>S26-T26</x:f>
        <x:v>4</x:v>
      </x:c>
      <x:c r="V26" s="65" t="n">
        <x:v>0</x:v>
      </x:c>
      <x:c r="W26" s="65" t="n">
        <x:f>U26-V26</x:f>
        <x:v>4</x:v>
      </x:c>
      <x:c r="X26" s="65" t="n">
        <x:v>0</x:v>
      </x:c>
      <x:c r="Y26" s="65" t="n">
        <x:f>W26-X26</x:f>
        <x:v>4</x:v>
      </x:c>
      <x:c r="Z26" s="65" t="n">
        <x:v>0</x:v>
      </x:c>
      <x:c r="AA26" s="65" t="n">
        <x:f>Y26-Z26</x:f>
        <x:v>4</x:v>
      </x:c>
      <x:c r="AB26" s="65" t="n">
        <x:f>SUM(H26,J26,L26,N26,P26,R26,T26,V26,X26,Z26)</x:f>
        <x:v>0</x:v>
      </x:c>
      <x:c r="AC26" s="65" t="n">
        <x:f>AA26</x:f>
        <x:v>4</x:v>
      </x:c>
    </x:row>
    <x:row r="27" ht="15" hidden="0" customHeight="1">
      <x:c r="B27" s="64" t="str"/>
      <x:c r="C27" s="64" t="str"/>
      <x:c r="D27" s="64" t="str">
        <x:v>Ejecutar pruebas funcionales del flujo documental</x:v>
      </x:c>
      <x:c r="E27" s="65" t="str">
        <x:v>Richard Diaz</x:v>
      </x:c>
      <x:c r="F27" s="65" t="str">
        <x:v>Por iniciar</x:v>
      </x:c>
      <x:c r="G27" s="65" t="n">
        <x:v>4</x:v>
      </x:c>
      <x:c r="H27" s="65" t="n">
        <x:v>0</x:v>
      </x:c>
      <x:c r="I27" s="65" t="n">
        <x:f>G27-H27</x:f>
        <x:v>4</x:v>
      </x:c>
      <x:c r="J27" s="65" t="n">
        <x:v>0</x:v>
      </x:c>
      <x:c r="K27" s="65" t="n">
        <x:f>I27-J27</x:f>
        <x:v>4</x:v>
      </x:c>
      <x:c r="L27" s="65" t="n">
        <x:v>0</x:v>
      </x:c>
      <x:c r="M27" s="65" t="n">
        <x:f>K27-L27</x:f>
        <x:v>4</x:v>
      </x:c>
      <x:c r="N27" s="65" t="n">
        <x:v>0</x:v>
      </x:c>
      <x:c r="O27" s="65" t="n">
        <x:f>M27-N27</x:f>
        <x:v>4</x:v>
      </x:c>
      <x:c r="P27" s="65" t="n">
        <x:v>0</x:v>
      </x:c>
      <x:c r="Q27" s="65" t="n">
        <x:f>O27-P27</x:f>
        <x:v>4</x:v>
      </x:c>
      <x:c r="R27" s="65" t="n">
        <x:v>0</x:v>
      </x:c>
      <x:c r="S27" s="65" t="n">
        <x:f>Q27-R27</x:f>
        <x:v>4</x:v>
      </x:c>
      <x:c r="T27" s="65" t="n">
        <x:v>0</x:v>
      </x:c>
      <x:c r="U27" s="65" t="n">
        <x:f>S27-T27</x:f>
        <x:v>4</x:v>
      </x:c>
      <x:c r="V27" s="65" t="n">
        <x:v>0</x:v>
      </x:c>
      <x:c r="W27" s="65" t="n">
        <x:f>U27-V27</x:f>
        <x:v>4</x:v>
      </x:c>
      <x:c r="X27" s="65" t="n">
        <x:v>0</x:v>
      </x:c>
      <x:c r="Y27" s="65" t="n">
        <x:f>W27-X27</x:f>
        <x:v>4</x:v>
      </x:c>
      <x:c r="Z27" s="65" t="n">
        <x:v>0</x:v>
      </x:c>
      <x:c r="AA27" s="65" t="n">
        <x:f>Y27-Z27</x:f>
        <x:v>4</x:v>
      </x:c>
      <x:c r="AB27" s="65" t="n">
        <x:f>SUM(H27,J27,L27,N27,P27,R27,T27,V27,X27,Z27)</x:f>
        <x:v>0</x:v>
      </x:c>
      <x:c r="AC27" s="65" t="n">
        <x:f>AA27</x:f>
        <x:v>4</x:v>
      </x:c>
    </x:row>
    <x:row r="28" ht="43.20000076293945" hidden="0" customHeight="1">
      <x:c r="B28" s="63" t="str">
        <x:v>HU-20</x:v>
      </x:c>
      <x:c r="C28" s="63" t="str">
        <x:v>Como vecino, quiero revisar el estado y el historial de mis consultas, reclamos, solicitudes vecinales y solicitudes de documentos, para conocer su avance y las respuestas entregadas por la directiva.</x:v>
      </x:c>
      <x:c r="D28" s="64" t="str">
        <x:v>Implementar consulta consolidada de estado e historial del vecino</x:v>
      </x:c>
      <x:c r="E28" s="65" t="str">
        <x:v>Ivan Tamayo</x:v>
      </x:c>
      <x:c r="F28" s="65" t="str">
        <x:v>Por iniciar</x:v>
      </x:c>
      <x:c r="G28" s="65" t="n">
        <x:v>4</x:v>
      </x:c>
      <x:c r="H28" s="65" t="n">
        <x:v>0</x:v>
      </x:c>
      <x:c r="I28" s="65" t="n">
        <x:f>G28-H28</x:f>
        <x:v>4</x:v>
      </x:c>
      <x:c r="J28" s="65" t="n">
        <x:v>0</x:v>
      </x:c>
      <x:c r="K28" s="65" t="n">
        <x:f>I28-J28</x:f>
        <x:v>4</x:v>
      </x:c>
      <x:c r="L28" s="65" t="n">
        <x:v>0</x:v>
      </x:c>
      <x:c r="M28" s="65" t="n">
        <x:f>K28-L28</x:f>
        <x:v>4</x:v>
      </x:c>
      <x:c r="N28" s="65" t="n">
        <x:v>0</x:v>
      </x:c>
      <x:c r="O28" s="65" t="n">
        <x:f>M28-N28</x:f>
        <x:v>4</x:v>
      </x:c>
      <x:c r="P28" s="65" t="n">
        <x:v>0</x:v>
      </x:c>
      <x:c r="Q28" s="65" t="n">
        <x:f>O28-P28</x:f>
        <x:v>4</x:v>
      </x:c>
      <x:c r="R28" s="65" t="n">
        <x:v>0</x:v>
      </x:c>
      <x:c r="S28" s="65" t="n">
        <x:f>Q28-R28</x:f>
        <x:v>4</x:v>
      </x:c>
      <x:c r="T28" s="65" t="n">
        <x:v>0</x:v>
      </x:c>
      <x:c r="U28" s="65" t="n">
        <x:f>S28-T28</x:f>
        <x:v>4</x:v>
      </x:c>
      <x:c r="V28" s="65" t="n">
        <x:v>0</x:v>
      </x:c>
      <x:c r="W28" s="65" t="n">
        <x:f>U28-V28</x:f>
        <x:v>4</x:v>
      </x:c>
      <x:c r="X28" s="65" t="n">
        <x:v>0</x:v>
      </x:c>
      <x:c r="Y28" s="65" t="n">
        <x:f>W28-X28</x:f>
        <x:v>4</x:v>
      </x:c>
      <x:c r="Z28" s="65" t="n">
        <x:v>0</x:v>
      </x:c>
      <x:c r="AA28" s="65" t="n">
        <x:f>Y28-Z28</x:f>
        <x:v>4</x:v>
      </x:c>
      <x:c r="AB28" s="65" t="n">
        <x:f>SUM(H28,J28,L28,N28,P28,R28,T28,V28,X28,Z28)</x:f>
        <x:v>0</x:v>
      </x:c>
      <x:c r="AC28" s="65" t="n">
        <x:f>AA28</x:f>
        <x:v>4</x:v>
      </x:c>
    </x:row>
    <x:row r="29" ht="21.600000381469727" hidden="0" customHeight="1">
      <x:c r="B29" s="64" t="str"/>
      <x:c r="C29" s="64" t="str"/>
      <x:c r="D29" s="64" t="str">
        <x:v>Implementar lógica de cambios no revisados y nuevas respuestas</x:v>
      </x:c>
      <x:c r="E29" s="65" t="str">
        <x:v>Ivan Tamayo</x:v>
      </x:c>
      <x:c r="F29" s="65" t="str">
        <x:v>Por iniciar</x:v>
      </x:c>
      <x:c r="G29" s="65" t="n">
        <x:v>3</x:v>
      </x:c>
      <x:c r="H29" s="65" t="n">
        <x:v>0</x:v>
      </x:c>
      <x:c r="I29" s="65" t="n">
        <x:f>G29-H29</x:f>
        <x:v>3</x:v>
      </x:c>
      <x:c r="J29" s="65" t="n">
        <x:v>0</x:v>
      </x:c>
      <x:c r="K29" s="65" t="n">
        <x:f>I29-J29</x:f>
        <x:v>3</x:v>
      </x:c>
      <x:c r="L29" s="65" t="n">
        <x:v>0</x:v>
      </x:c>
      <x:c r="M29" s="65" t="n">
        <x:f>K29-L29</x:f>
        <x:v>3</x:v>
      </x:c>
      <x:c r="N29" s="65" t="n">
        <x:v>0</x:v>
      </x:c>
      <x:c r="O29" s="65" t="n">
        <x:f>M29-N29</x:f>
        <x:v>3</x:v>
      </x:c>
      <x:c r="P29" s="65" t="n">
        <x:v>0</x:v>
      </x:c>
      <x:c r="Q29" s="65" t="n">
        <x:f>O29-P29</x:f>
        <x:v>3</x:v>
      </x:c>
      <x:c r="R29" s="65" t="n">
        <x:v>0</x:v>
      </x:c>
      <x:c r="S29" s="65" t="n">
        <x:f>Q29-R29</x:f>
        <x:v>3</x:v>
      </x:c>
      <x:c r="T29" s="65" t="n">
        <x:v>0</x:v>
      </x:c>
      <x:c r="U29" s="65" t="n">
        <x:f>S29-T29</x:f>
        <x:v>3</x:v>
      </x:c>
      <x:c r="V29" s="65" t="n">
        <x:v>0</x:v>
      </x:c>
      <x:c r="W29" s="65" t="n">
        <x:f>U29-V29</x:f>
        <x:v>3</x:v>
      </x:c>
      <x:c r="X29" s="65" t="n">
        <x:v>0</x:v>
      </x:c>
      <x:c r="Y29" s="65" t="n">
        <x:f>W29-X29</x:f>
        <x:v>3</x:v>
      </x:c>
      <x:c r="Z29" s="65" t="n">
        <x:v>0</x:v>
      </x:c>
      <x:c r="AA29" s="65" t="n">
        <x:f>Y29-Z29</x:f>
        <x:v>3</x:v>
      </x:c>
      <x:c r="AB29" s="65" t="n">
        <x:f>SUM(H29,J29,L29,N29,P29,R29,T29,V29,X29,Z29)</x:f>
        <x:v>0</x:v>
      </x:c>
      <x:c r="AC29" s="65" t="n">
        <x:f>AA29</x:f>
        <x:v>3</x:v>
      </x:c>
    </x:row>
    <x:row r="30" ht="15" hidden="0" customHeight="1">
      <x:c r="B30" s="64" t="str"/>
      <x:c r="C30" s="64" t="str"/>
      <x:c r="D30" s="64" t="str">
        <x:v>Diseñar e implementar listado de seguimiento de solicitudes</x:v>
      </x:c>
      <x:c r="E30" s="65" t="str">
        <x:v>Rodrigo Romero</x:v>
      </x:c>
      <x:c r="F30" s="65" t="str">
        <x:v>Por iniciar</x:v>
      </x:c>
      <x:c r="G30" s="65" t="n">
        <x:v>5</x:v>
      </x:c>
      <x:c r="H30" s="65" t="n">
        <x:v>0</x:v>
      </x:c>
      <x:c r="I30" s="65" t="n">
        <x:f>G30-H30</x:f>
        <x:v>5</x:v>
      </x:c>
      <x:c r="J30" s="65" t="n">
        <x:v>0</x:v>
      </x:c>
      <x:c r="K30" s="65" t="n">
        <x:f>I30-J30</x:f>
        <x:v>5</x:v>
      </x:c>
      <x:c r="L30" s="65" t="n">
        <x:v>0</x:v>
      </x:c>
      <x:c r="M30" s="65" t="n">
        <x:f>K30-L30</x:f>
        <x:v>5</x:v>
      </x:c>
      <x:c r="N30" s="65" t="n">
        <x:v>0</x:v>
      </x:c>
      <x:c r="O30" s="65" t="n">
        <x:f>M30-N30</x:f>
        <x:v>5</x:v>
      </x:c>
      <x:c r="P30" s="65" t="n">
        <x:v>0</x:v>
      </x:c>
      <x:c r="Q30" s="65" t="n">
        <x:f>O30-P30</x:f>
        <x:v>5</x:v>
      </x:c>
      <x:c r="R30" s="65" t="n">
        <x:v>0</x:v>
      </x:c>
      <x:c r="S30" s="65" t="n">
        <x:f>Q30-R30</x:f>
        <x:v>5</x:v>
      </x:c>
      <x:c r="T30" s="65" t="n">
        <x:v>0</x:v>
      </x:c>
      <x:c r="U30" s="65" t="n">
        <x:f>S30-T30</x:f>
        <x:v>5</x:v>
      </x:c>
      <x:c r="V30" s="65" t="n">
        <x:v>0</x:v>
      </x:c>
      <x:c r="W30" s="65" t="n">
        <x:f>U30-V30</x:f>
        <x:v>5</x:v>
      </x:c>
      <x:c r="X30" s="65" t="n">
        <x:v>0</x:v>
      </x:c>
      <x:c r="Y30" s="65" t="n">
        <x:f>W30-X30</x:f>
        <x:v>5</x:v>
      </x:c>
      <x:c r="Z30" s="65" t="n">
        <x:v>0</x:v>
      </x:c>
      <x:c r="AA30" s="65" t="n">
        <x:f>Y30-Z30</x:f>
        <x:v>5</x:v>
      </x:c>
      <x:c r="AB30" s="65" t="n">
        <x:f>SUM(H30,J30,L30,N30,P30,R30,T30,V30,X30,Z30)</x:f>
        <x:v>0</x:v>
      </x:c>
      <x:c r="AC30" s="65" t="n">
        <x:f>AA30</x:f>
        <x:v>5</x:v>
      </x:c>
    </x:row>
    <x:row r="31" ht="15" hidden="0" customHeight="1">
      <x:c r="B31" s="64" t="str"/>
      <x:c r="C31" s="64" t="str"/>
      <x:c r="D31" s="64" t="str">
        <x:v>Diseñar e implementar detalle tipo línea de tiempo del historial</x:v>
      </x:c>
      <x:c r="E31" s="65" t="str">
        <x:v>Rodrigo Romero</x:v>
      </x:c>
      <x:c r="F31" s="65" t="str">
        <x:v>Por iniciar</x:v>
      </x:c>
      <x:c r="G31" s="65" t="n">
        <x:v>4</x:v>
      </x:c>
      <x:c r="H31" s="65" t="n">
        <x:v>0</x:v>
      </x:c>
      <x:c r="I31" s="65" t="n">
        <x:f>G31-H31</x:f>
        <x:v>4</x:v>
      </x:c>
      <x:c r="J31" s="65" t="n">
        <x:v>0</x:v>
      </x:c>
      <x:c r="K31" s="65" t="n">
        <x:f>I31-J31</x:f>
        <x:v>4</x:v>
      </x:c>
      <x:c r="L31" s="65" t="n">
        <x:v>0</x:v>
      </x:c>
      <x:c r="M31" s="65" t="n">
        <x:f>K31-L31</x:f>
        <x:v>4</x:v>
      </x:c>
      <x:c r="N31" s="65" t="n">
        <x:v>0</x:v>
      </x:c>
      <x:c r="O31" s="65" t="n">
        <x:f>M31-N31</x:f>
        <x:v>4</x:v>
      </x:c>
      <x:c r="P31" s="65" t="n">
        <x:v>0</x:v>
      </x:c>
      <x:c r="Q31" s="65" t="n">
        <x:f>O31-P31</x:f>
        <x:v>4</x:v>
      </x:c>
      <x:c r="R31" s="65" t="n">
        <x:v>0</x:v>
      </x:c>
      <x:c r="S31" s="65" t="n">
        <x:f>Q31-R31</x:f>
        <x:v>4</x:v>
      </x:c>
      <x:c r="T31" s="65" t="n">
        <x:v>0</x:v>
      </x:c>
      <x:c r="U31" s="65" t="n">
        <x:f>S31-T31</x:f>
        <x:v>4</x:v>
      </x:c>
      <x:c r="V31" s="65" t="n">
        <x:v>0</x:v>
      </x:c>
      <x:c r="W31" s="65" t="n">
        <x:f>U31-V31</x:f>
        <x:v>4</x:v>
      </x:c>
      <x:c r="X31" s="65" t="n">
        <x:v>0</x:v>
      </x:c>
      <x:c r="Y31" s="65" t="n">
        <x:f>W31-X31</x:f>
        <x:v>4</x:v>
      </x:c>
      <x:c r="Z31" s="65" t="n">
        <x:v>0</x:v>
      </x:c>
      <x:c r="AA31" s="65" t="n">
        <x:f>Y31-Z31</x:f>
        <x:v>4</x:v>
      </x:c>
      <x:c r="AB31" s="65" t="n">
        <x:f>SUM(H31,J31,L31,N31,P31,R31,T31,V31,X31,Z31)</x:f>
        <x:v>0</x:v>
      </x:c>
      <x:c r="AC31" s="65" t="n">
        <x:f>AA31</x:f>
        <x:v>4</x:v>
      </x:c>
    </x:row>
    <x:row r="32" ht="21.600000381469727" hidden="0" customHeight="1">
      <x:c r="B32" s="64" t="str"/>
      <x:c r="C32" s="64" t="str"/>
      <x:c r="D32" s="64" t="str">
        <x:v>Probar privacidad, estados, historial y acceso solo al propietario</x:v>
      </x:c>
      <x:c r="E32" s="65" t="str">
        <x:v>Richard Diaz</x:v>
      </x:c>
      <x:c r="F32" s="65" t="str">
        <x:v>Por iniciar</x:v>
      </x:c>
      <x:c r="G32" s="65" t="n">
        <x:v>4</x:v>
      </x:c>
      <x:c r="H32" s="65" t="n">
        <x:v>0</x:v>
      </x:c>
      <x:c r="I32" s="65" t="n">
        <x:f>G32-H32</x:f>
        <x:v>4</x:v>
      </x:c>
      <x:c r="J32" s="65" t="n">
        <x:v>0</x:v>
      </x:c>
      <x:c r="K32" s="65" t="n">
        <x:f>I32-J32</x:f>
        <x:v>4</x:v>
      </x:c>
      <x:c r="L32" s="65" t="n">
        <x:v>0</x:v>
      </x:c>
      <x:c r="M32" s="65" t="n">
        <x:f>K32-L32</x:f>
        <x:v>4</x:v>
      </x:c>
      <x:c r="N32" s="65" t="n">
        <x:v>0</x:v>
      </x:c>
      <x:c r="O32" s="65" t="n">
        <x:f>M32-N32</x:f>
        <x:v>4</x:v>
      </x:c>
      <x:c r="P32" s="65" t="n">
        <x:v>0</x:v>
      </x:c>
      <x:c r="Q32" s="65" t="n">
        <x:f>O32-P32</x:f>
        <x:v>4</x:v>
      </x:c>
      <x:c r="R32" s="65" t="n">
        <x:v>0</x:v>
      </x:c>
      <x:c r="S32" s="65" t="n">
        <x:f>Q32-R32</x:f>
        <x:v>4</x:v>
      </x:c>
      <x:c r="T32" s="65" t="n">
        <x:v>0</x:v>
      </x:c>
      <x:c r="U32" s="65" t="n">
        <x:f>S32-T32</x:f>
        <x:v>4</x:v>
      </x:c>
      <x:c r="V32" s="65" t="n">
        <x:v>0</x:v>
      </x:c>
      <x:c r="W32" s="65" t="n">
        <x:f>U32-V32</x:f>
        <x:v>4</x:v>
      </x:c>
      <x:c r="X32" s="65" t="n">
        <x:v>0</x:v>
      </x:c>
      <x:c r="Y32" s="65" t="n">
        <x:f>W32-X32</x:f>
        <x:v>4</x:v>
      </x:c>
      <x:c r="Z32" s="65" t="n">
        <x:v>0</x:v>
      </x:c>
      <x:c r="AA32" s="65" t="n">
        <x:f>Y32-Z32</x:f>
        <x:v>4</x:v>
      </x:c>
      <x:c r="AB32" s="65" t="n">
        <x:f>SUM(H32,J32,L32,N32,P32,R32,T32,V32,X32,Z32)</x:f>
        <x:v>0</x:v>
      </x:c>
      <x:c r="AC32" s="65" t="n">
        <x:f>AA32</x:f>
        <x:v>4</x:v>
      </x:c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32">
    <x:cfRule type="expression" dxfId="21" priority="1">
      <x:formula>F6="Hecho"</x:formula>
    </x:cfRule>
    <x:cfRule type="expression" dxfId="22" priority="2">
      <x:formula>F6="En proceso"</x:formula>
    </x:cfRule>
    <x:cfRule type="expression" dxfId="23" priority="3">
      <x:formula>F6="Por iniciar"</x:formula>
    </x:cfRule>
  </x:conditionalFormatting>
  <x:dataValidations count="2">
    <x:dataValidation type="list" sqref="E6:E32">
      <x:formula1>"Ivan Tamayo,Rodrigo Romero,Richard Diaz,Por definir"</x:formula1>
    </x:dataValidation>
    <x:dataValidation type="list" sqref="F6:F32">
      <x:formula1>"Por iniciar,En proceso,Hecho"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4 | Semanas 11–12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4</x:v>
      </x:c>
      <x:c r="C3" s="17" t="str">
        <x:v>Story Points: 32</x:v>
      </x:c>
      <x:c r="D3" s="17" t="str">
        <x:v>Tareas: 25</x:v>
      </x:c>
      <x:c r="E3" s="17" t="str">
        <x:v>Horas estimadas: 128</x:v>
      </x:c>
      <x:c r="F3" s="17" t="str">
        <x:v>Estado: Por iniciar</x:v>
      </x:c>
      <x:c r="G3" s="17" t="str">
        <x:v>Asignación inicial por rol</x:v>
      </x:c>
    </x:row>
    <x:row r="4" ht="28" customHeight="1"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Product Backlog</x:v>
      </x:c>
      <x:c r="C5" s="34" t="str">
        <x:v>Enunciado del Product Backlog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32.400001525878906" hidden="0" customHeight="1">
      <x:c r="B6" s="63" t="str">
        <x:v>HU-13</x:v>
      </x:c>
      <x:c r="C6" s="63" t="str">
        <x:v>Como vecino, quiero intercambiar mensajes con la directiva, para resolver consultas y recibir orientación dentro de un canal institucional y trazable.</x:v>
      </x:c>
      <x:c r="D6" s="64" t="str">
        <x:v>Modelar conversaciones, mensajes y estados de lectura</x:v>
      </x:c>
      <x:c r="E6" s="65" t="str">
        <x:v>Ivan Tamayo</x:v>
      </x:c>
      <x:c r="F6" s="65" t="str">
        <x:v>Por iniciar</x:v>
      </x:c>
      <x:c r="G6" s="65" t="n">
        <x:v>6</x:v>
      </x:c>
      <x:c r="H6" s="65" t="n">
        <x:v>0</x:v>
      </x:c>
      <x:c r="I6" s="65" t="n">
        <x:f>G6-H6</x:f>
        <x:v>6</x:v>
      </x:c>
      <x:c r="J6" s="65" t="n">
        <x:v>0</x:v>
      </x:c>
      <x:c r="K6" s="65" t="n">
        <x:f>I6-J6</x:f>
        <x:v>6</x:v>
      </x:c>
      <x:c r="L6" s="65" t="n">
        <x:v>0</x:v>
      </x:c>
      <x:c r="M6" s="65" t="n">
        <x:f>K6-L6</x:f>
        <x:v>6</x:v>
      </x:c>
      <x:c r="N6" s="65" t="n">
        <x:v>0</x:v>
      </x:c>
      <x:c r="O6" s="65" t="n">
        <x:f>M6-N6</x:f>
        <x:v>6</x:v>
      </x:c>
      <x:c r="P6" s="65" t="n">
        <x:v>0</x:v>
      </x:c>
      <x:c r="Q6" s="65" t="n">
        <x:f>O6-P6</x:f>
        <x:v>6</x:v>
      </x:c>
      <x:c r="R6" s="65" t="n">
        <x:v>0</x:v>
      </x:c>
      <x:c r="S6" s="65" t="n">
        <x:f>Q6-R6</x:f>
        <x:v>6</x:v>
      </x:c>
      <x:c r="T6" s="65" t="n">
        <x:v>0</x:v>
      </x:c>
      <x:c r="U6" s="65" t="n">
        <x:f>S6-T6</x:f>
        <x:v>6</x:v>
      </x:c>
      <x:c r="V6" s="65" t="n">
        <x:v>0</x:v>
      </x:c>
      <x:c r="W6" s="65" t="n">
        <x:f>U6-V6</x:f>
        <x:v>6</x:v>
      </x:c>
      <x:c r="X6" s="65" t="n">
        <x:v>0</x:v>
      </x:c>
      <x:c r="Y6" s="65" t="n">
        <x:f>W6-X6</x:f>
        <x:v>6</x:v>
      </x:c>
      <x:c r="Z6" s="65" t="n">
        <x:v>0</x:v>
      </x:c>
      <x:c r="AA6" s="65" t="n">
        <x:f>Y6-Z6</x:f>
        <x:v>6</x:v>
      </x:c>
      <x:c r="AB6" s="65" t="n">
        <x:f>SUM(H6,J6,L6,N6,P6,R6,T6,V6,X6,Z6)</x:f>
        <x:v>0</x:v>
      </x:c>
      <x:c r="AC6" s="65" t="n">
        <x:f>AA6</x:f>
        <x:v>6</x:v>
      </x:c>
    </x:row>
    <x:row r="7" ht="15" hidden="0" customHeight="1">
      <x:c r="B7" s="64" t="str"/>
      <x:c r="C7" s="64" t="str"/>
      <x:c r="D7" s="64" t="str">
        <x:v>Implementar APIs de bandeja, conversación, envío y lectura</x:v>
      </x:c>
      <x:c r="E7" s="65" t="str">
        <x:v>Ivan Tamayo</x:v>
      </x:c>
      <x:c r="F7" s="65" t="str">
        <x:v>Por iniciar</x:v>
      </x:c>
      <x:c r="G7" s="65" t="n">
        <x:v>6</x:v>
      </x:c>
      <x:c r="H7" s="65" t="n">
        <x:v>0</x:v>
      </x:c>
      <x:c r="I7" s="65" t="n">
        <x:f>G7-H7</x:f>
        <x:v>6</x:v>
      </x:c>
      <x:c r="J7" s="65" t="n">
        <x:v>0</x:v>
      </x:c>
      <x:c r="K7" s="65" t="n">
        <x:f>I7-J7</x:f>
        <x:v>6</x:v>
      </x:c>
      <x:c r="L7" s="65" t="n">
        <x:v>0</x:v>
      </x:c>
      <x:c r="M7" s="65" t="n">
        <x:f>K7-L7</x:f>
        <x:v>6</x:v>
      </x:c>
      <x:c r="N7" s="65" t="n">
        <x:v>0</x:v>
      </x:c>
      <x:c r="O7" s="65" t="n">
        <x:f>M7-N7</x:f>
        <x:v>6</x:v>
      </x:c>
      <x:c r="P7" s="65" t="n">
        <x:v>0</x:v>
      </x:c>
      <x:c r="Q7" s="65" t="n">
        <x:f>O7-P7</x:f>
        <x:v>6</x:v>
      </x:c>
      <x:c r="R7" s="65" t="n">
        <x:v>0</x:v>
      </x:c>
      <x:c r="S7" s="65" t="n">
        <x:f>Q7-R7</x:f>
        <x:v>6</x:v>
      </x:c>
      <x:c r="T7" s="65" t="n">
        <x:v>0</x:v>
      </x:c>
      <x:c r="U7" s="65" t="n">
        <x:f>S7-T7</x:f>
        <x:v>6</x:v>
      </x:c>
      <x:c r="V7" s="65" t="n">
        <x:v>0</x:v>
      </x:c>
      <x:c r="W7" s="65" t="n">
        <x:f>U7-V7</x:f>
        <x:v>6</x:v>
      </x:c>
      <x:c r="X7" s="65" t="n">
        <x:v>0</x:v>
      </x:c>
      <x:c r="Y7" s="65" t="n">
        <x:f>W7-X7</x:f>
        <x:v>6</x:v>
      </x:c>
      <x:c r="Z7" s="65" t="n">
        <x:v>0</x:v>
      </x:c>
      <x:c r="AA7" s="65" t="n">
        <x:f>Y7-Z7</x:f>
        <x:v>6</x:v>
      </x:c>
      <x:c r="AB7" s="65" t="n">
        <x:f>SUM(H7,J7,L7,N7,P7,R7,T7,V7,X7,Z7)</x:f>
        <x:v>0</x:v>
      </x:c>
      <x:c r="AC7" s="65" t="n">
        <x:f>AA7</x:f>
        <x:v>6</x:v>
      </x:c>
    </x:row>
    <x:row r="8" ht="15" hidden="0" customHeight="1">
      <x:c r="B8" s="64" t="str"/>
      <x:c r="C8" s="64" t="str"/>
      <x:c r="D8" s="64" t="str">
        <x:v>Diseñar e implementar bandeja general y vista de conversación</x:v>
      </x:c>
      <x:c r="E8" s="65" t="str">
        <x:v>Rodrigo Romero</x:v>
      </x:c>
      <x:c r="F8" s="65" t="str">
        <x:v>Por iniciar</x:v>
      </x:c>
      <x:c r="G8" s="65" t="n">
        <x:v>8</x:v>
      </x:c>
      <x:c r="H8" s="65" t="n">
        <x:v>0</x:v>
      </x:c>
      <x:c r="I8" s="65" t="n">
        <x:f>G8-H8</x:f>
        <x:v>8</x:v>
      </x:c>
      <x:c r="J8" s="65" t="n">
        <x:v>0</x:v>
      </x:c>
      <x:c r="K8" s="65" t="n">
        <x:f>I8-J8</x:f>
        <x:v>8</x:v>
      </x:c>
      <x:c r="L8" s="65" t="n">
        <x:v>0</x:v>
      </x:c>
      <x:c r="M8" s="65" t="n">
        <x:f>K8-L8</x:f>
        <x:v>8</x:v>
      </x:c>
      <x:c r="N8" s="65" t="n">
        <x:v>0</x:v>
      </x:c>
      <x:c r="O8" s="65" t="n">
        <x:f>M8-N8</x:f>
        <x:v>8</x:v>
      </x:c>
      <x:c r="P8" s="65" t="n">
        <x:v>0</x:v>
      </x:c>
      <x:c r="Q8" s="65" t="n">
        <x:f>O8-P8</x:f>
        <x:v>8</x:v>
      </x:c>
      <x:c r="R8" s="65" t="n">
        <x:v>0</x:v>
      </x:c>
      <x:c r="S8" s="65" t="n">
        <x:f>Q8-R8</x:f>
        <x:v>8</x:v>
      </x:c>
      <x:c r="T8" s="65" t="n">
        <x:v>0</x:v>
      </x:c>
      <x:c r="U8" s="65" t="n">
        <x:f>S8-T8</x:f>
        <x:v>8</x:v>
      </x:c>
      <x:c r="V8" s="65" t="n">
        <x:v>0</x:v>
      </x:c>
      <x:c r="W8" s="65" t="n">
        <x:f>U8-V8</x:f>
        <x:v>8</x:v>
      </x:c>
      <x:c r="X8" s="65" t="n">
        <x:v>0</x:v>
      </x:c>
      <x:c r="Y8" s="65" t="n">
        <x:f>W8-X8</x:f>
        <x:v>8</x:v>
      </x:c>
      <x:c r="Z8" s="65" t="n">
        <x:v>0</x:v>
      </x:c>
      <x:c r="AA8" s="65" t="n">
        <x:f>Y8-Z8</x:f>
        <x:v>8</x:v>
      </x:c>
      <x:c r="AB8" s="65" t="n">
        <x:f>SUM(H8,J8,L8,N8,P8,R8,T8,V8,X8,Z8)</x:f>
        <x:v>0</x:v>
      </x:c>
      <x:c r="AC8" s="65" t="n">
        <x:f>AA8</x:f>
        <x:v>8</x:v>
      </x:c>
    </x:row>
    <x:row r="9" ht="21.600000381469727" hidden="0" customHeight="1">
      <x:c r="B9" s="64" t="str"/>
      <x:c r="C9" s="64" t="str"/>
      <x:c r="D9" s="64" t="str">
        <x:v>Implementar indicadores de mensajes leídos/no leídos y notificación interna</x:v>
      </x:c>
      <x:c r="E9" s="65" t="str">
        <x:v>Rodrigo Romero</x:v>
      </x:c>
      <x:c r="F9" s="65" t="str">
        <x:v>Por iniciar</x:v>
      </x:c>
      <x:c r="G9" s="65" t="n">
        <x:v>4</x:v>
      </x:c>
      <x:c r="H9" s="65" t="n">
        <x:v>0</x:v>
      </x:c>
      <x:c r="I9" s="65" t="n">
        <x:f>G9-H9</x:f>
        <x:v>4</x:v>
      </x:c>
      <x:c r="J9" s="65" t="n">
        <x:v>0</x:v>
      </x:c>
      <x:c r="K9" s="65" t="n">
        <x:f>I9-J9</x:f>
        <x:v>4</x:v>
      </x:c>
      <x:c r="L9" s="65" t="n">
        <x:v>0</x:v>
      </x:c>
      <x:c r="M9" s="65" t="n">
        <x:f>K9-L9</x:f>
        <x:v>4</x:v>
      </x:c>
      <x:c r="N9" s="65" t="n">
        <x:v>0</x:v>
      </x:c>
      <x:c r="O9" s="65" t="n">
        <x:f>M9-N9</x:f>
        <x:v>4</x:v>
      </x:c>
      <x:c r="P9" s="65" t="n">
        <x:v>0</x:v>
      </x:c>
      <x:c r="Q9" s="65" t="n">
        <x:f>O9-P9</x:f>
        <x:v>4</x:v>
      </x:c>
      <x:c r="R9" s="65" t="n">
        <x:v>0</x:v>
      </x:c>
      <x:c r="S9" s="65" t="n">
        <x:f>Q9-R9</x:f>
        <x:v>4</x:v>
      </x:c>
      <x:c r="T9" s="65" t="n">
        <x:v>0</x:v>
      </x:c>
      <x:c r="U9" s="65" t="n">
        <x:f>S9-T9</x:f>
        <x:v>4</x:v>
      </x:c>
      <x:c r="V9" s="65" t="n">
        <x:v>0</x:v>
      </x:c>
      <x:c r="W9" s="65" t="n">
        <x:f>U9-V9</x:f>
        <x:v>4</x:v>
      </x:c>
      <x:c r="X9" s="65" t="n">
        <x:v>0</x:v>
      </x:c>
      <x:c r="Y9" s="65" t="n">
        <x:f>W9-X9</x:f>
        <x:v>4</x:v>
      </x:c>
      <x:c r="Z9" s="65" t="n">
        <x:v>0</x:v>
      </x:c>
      <x:c r="AA9" s="65" t="n">
        <x:f>Y9-Z9</x:f>
        <x:v>4</x:v>
      </x:c>
      <x:c r="AB9" s="65" t="n">
        <x:f>SUM(H9,J9,L9,N9,P9,R9,T9,V9,X9,Z9)</x:f>
        <x:v>0</x:v>
      </x:c>
      <x:c r="AC9" s="65" t="n">
        <x:f>AA9</x:f>
        <x:v>4</x:v>
      </x:c>
    </x:row>
    <x:row r="10" ht="15" hidden="0" customHeight="1">
      <x:c r="B10" s="64" t="str"/>
      <x:c r="C10" s="64" t="str"/>
      <x:c r="D10" s="64" t="str">
        <x:v>Probar permisos y privacidad de las conversaciones</x:v>
      </x:c>
      <x:c r="E10" s="65" t="str">
        <x:v>Richard Diaz</x:v>
      </x:c>
      <x:c r="F10" s="65" t="str">
        <x:v>Por iniciar</x:v>
      </x:c>
      <x:c r="G10" s="65" t="n">
        <x:v>4</x:v>
      </x:c>
      <x:c r="H10" s="65" t="n">
        <x:v>0</x:v>
      </x:c>
      <x:c r="I10" s="65" t="n">
        <x:f>G10-H10</x:f>
        <x:v>4</x:v>
      </x:c>
      <x:c r="J10" s="65" t="n">
        <x:v>0</x:v>
      </x:c>
      <x:c r="K10" s="65" t="n">
        <x:f>I10-J10</x:f>
        <x:v>4</x:v>
      </x:c>
      <x:c r="L10" s="65" t="n">
        <x:v>0</x:v>
      </x:c>
      <x:c r="M10" s="65" t="n">
        <x:f>K10-L10</x:f>
        <x:v>4</x:v>
      </x:c>
      <x:c r="N10" s="65" t="n">
        <x:v>0</x:v>
      </x:c>
      <x:c r="O10" s="65" t="n">
        <x:f>M10-N10</x:f>
        <x:v>4</x:v>
      </x:c>
      <x:c r="P10" s="65" t="n">
        <x:v>0</x:v>
      </x:c>
      <x:c r="Q10" s="65" t="n">
        <x:f>O10-P10</x:f>
        <x:v>4</x:v>
      </x:c>
      <x:c r="R10" s="65" t="n">
        <x:v>0</x:v>
      </x:c>
      <x:c r="S10" s="65" t="n">
        <x:f>Q10-R10</x:f>
        <x:v>4</x:v>
      </x:c>
      <x:c r="T10" s="65" t="n">
        <x:v>0</x:v>
      </x:c>
      <x:c r="U10" s="65" t="n">
        <x:f>S10-T10</x:f>
        <x:v>4</x:v>
      </x:c>
      <x:c r="V10" s="65" t="n">
        <x:v>0</x:v>
      </x:c>
      <x:c r="W10" s="65" t="n">
        <x:f>U10-V10</x:f>
        <x:v>4</x:v>
      </x:c>
      <x:c r="X10" s="65" t="n">
        <x:v>0</x:v>
      </x:c>
      <x:c r="Y10" s="65" t="n">
        <x:f>W10-X10</x:f>
        <x:v>4</x:v>
      </x:c>
      <x:c r="Z10" s="65" t="n">
        <x:v>0</x:v>
      </x:c>
      <x:c r="AA10" s="65" t="n">
        <x:f>Y10-Z10</x:f>
        <x:v>4</x:v>
      </x:c>
      <x:c r="AB10" s="65" t="n">
        <x:f>SUM(H10,J10,L10,N10,P10,R10,T10,V10,X10,Z10)</x:f>
        <x:v>0</x:v>
      </x:c>
      <x:c r="AC10" s="65" t="n">
        <x:f>AA10</x:f>
        <x:v>4</x:v>
      </x:c>
    </x:row>
    <x:row r="11" ht="15" hidden="0" customHeight="1">
      <x:c r="B11" s="64" t="str"/>
      <x:c r="C11" s="64" t="str"/>
      <x:c r="D11" s="64" t="str">
        <x:v>Ejecutar pruebas funcionales de envío y recepción de mensajes</x:v>
      </x:c>
      <x:c r="E11" s="65" t="str">
        <x:v>Richard Diaz</x:v>
      </x:c>
      <x:c r="F11" s="65" t="str">
        <x:v>Por iniciar</x:v>
      </x:c>
      <x:c r="G11" s="65" t="n">
        <x:v>4</x:v>
      </x:c>
      <x:c r="H11" s="65" t="n">
        <x:v>0</x:v>
      </x:c>
      <x:c r="I11" s="65" t="n">
        <x:f>G11-H11</x:f>
        <x:v>4</x:v>
      </x:c>
      <x:c r="J11" s="65" t="n">
        <x:v>0</x:v>
      </x:c>
      <x:c r="K11" s="65" t="n">
        <x:f>I11-J11</x:f>
        <x:v>4</x:v>
      </x:c>
      <x:c r="L11" s="65" t="n">
        <x:v>0</x:v>
      </x:c>
      <x:c r="M11" s="65" t="n">
        <x:f>K11-L11</x:f>
        <x:v>4</x:v>
      </x:c>
      <x:c r="N11" s="65" t="n">
        <x:v>0</x:v>
      </x:c>
      <x:c r="O11" s="65" t="n">
        <x:f>M11-N11</x:f>
        <x:v>4</x:v>
      </x:c>
      <x:c r="P11" s="65" t="n">
        <x:v>0</x:v>
      </x:c>
      <x:c r="Q11" s="65" t="n">
        <x:f>O11-P11</x:f>
        <x:v>4</x:v>
      </x:c>
      <x:c r="R11" s="65" t="n">
        <x:v>0</x:v>
      </x:c>
      <x:c r="S11" s="65" t="n">
        <x:f>Q11-R11</x:f>
        <x:v>4</x:v>
      </x:c>
      <x:c r="T11" s="65" t="n">
        <x:v>0</x:v>
      </x:c>
      <x:c r="U11" s="65" t="n">
        <x:f>S11-T11</x:f>
        <x:v>4</x:v>
      </x:c>
      <x:c r="V11" s="65" t="n">
        <x:v>0</x:v>
      </x:c>
      <x:c r="W11" s="65" t="n">
        <x:f>U11-V11</x:f>
        <x:v>4</x:v>
      </x:c>
      <x:c r="X11" s="65" t="n">
        <x:v>0</x:v>
      </x:c>
      <x:c r="Y11" s="65" t="n">
        <x:f>W11-X11</x:f>
        <x:v>4</x:v>
      </x:c>
      <x:c r="Z11" s="65" t="n">
        <x:v>0</x:v>
      </x:c>
      <x:c r="AA11" s="65" t="n">
        <x:f>Y11-Z11</x:f>
        <x:v>4</x:v>
      </x:c>
      <x:c r="AB11" s="65" t="n">
        <x:f>SUM(H11,J11,L11,N11,P11,R11,T11,V11,X11,Z11)</x:f>
        <x:v>0</x:v>
      </x:c>
      <x:c r="AC11" s="65" t="n">
        <x:f>AA11</x:f>
        <x:v>4</x:v>
      </x:c>
    </x:row>
    <x:row r="12" ht="32.400001525878906" hidden="0" customHeight="1">
      <x:c r="B12" s="63" t="str">
        <x:v>HU-14</x:v>
      </x:c>
      <x:c r="C12" s="63" t="str">
        <x:v>Como vecino, quiero registrar la información mínima de caracterización definida por el proyecto, para contribuir de forma segura a los indicadores agregados de mi sector y junta de vecinos.</x:v>
      </x:c>
      <x:c r="D12" s="64" t="str">
        <x:v>Finalizar modelo de datos demográficos y reglas de privacidad</x:v>
      </x:c>
      <x:c r="E12" s="65" t="str">
        <x:v>Ivan Tamayo</x:v>
      </x:c>
      <x:c r="F12" s="65" t="str">
        <x:v>Por iniciar</x:v>
      </x:c>
      <x:c r="G12" s="65" t="n">
        <x:v>6</x:v>
      </x:c>
      <x:c r="H12" s="65" t="n">
        <x:v>0</x:v>
      </x:c>
      <x:c r="I12" s="65" t="n">
        <x:f>G12-H12</x:f>
        <x:v>6</x:v>
      </x:c>
      <x:c r="J12" s="65" t="n">
        <x:v>0</x:v>
      </x:c>
      <x:c r="K12" s="65" t="n">
        <x:f>I12-J12</x:f>
        <x:v>6</x:v>
      </x:c>
      <x:c r="L12" s="65" t="n">
        <x:v>0</x:v>
      </x:c>
      <x:c r="M12" s="65" t="n">
        <x:f>K12-L12</x:f>
        <x:v>6</x:v>
      </x:c>
      <x:c r="N12" s="65" t="n">
        <x:v>0</x:v>
      </x:c>
      <x:c r="O12" s="65" t="n">
        <x:f>M12-N12</x:f>
        <x:v>6</x:v>
      </x:c>
      <x:c r="P12" s="65" t="n">
        <x:v>0</x:v>
      </x:c>
      <x:c r="Q12" s="65" t="n">
        <x:f>O12-P12</x:f>
        <x:v>6</x:v>
      </x:c>
      <x:c r="R12" s="65" t="n">
        <x:v>0</x:v>
      </x:c>
      <x:c r="S12" s="65" t="n">
        <x:f>Q12-R12</x:f>
        <x:v>6</x:v>
      </x:c>
      <x:c r="T12" s="65" t="n">
        <x:v>0</x:v>
      </x:c>
      <x:c r="U12" s="65" t="n">
        <x:f>S12-T12</x:f>
        <x:v>6</x:v>
      </x:c>
      <x:c r="V12" s="65" t="n">
        <x:v>0</x:v>
      </x:c>
      <x:c r="W12" s="65" t="n">
        <x:f>U12-V12</x:f>
        <x:v>6</x:v>
      </x:c>
      <x:c r="X12" s="65" t="n">
        <x:v>0</x:v>
      </x:c>
      <x:c r="Y12" s="65" t="n">
        <x:f>W12-X12</x:f>
        <x:v>6</x:v>
      </x:c>
      <x:c r="Z12" s="65" t="n">
        <x:v>0</x:v>
      </x:c>
      <x:c r="AA12" s="65" t="n">
        <x:f>Y12-Z12</x:f>
        <x:v>6</x:v>
      </x:c>
      <x:c r="AB12" s="65" t="n">
        <x:f>SUM(H12,J12,L12,N12,P12,R12,T12,V12,X12,Z12)</x:f>
        <x:v>0</x:v>
      </x:c>
      <x:c r="AC12" s="65" t="n">
        <x:f>AA12</x:f>
        <x:v>6</x:v>
      </x:c>
    </x:row>
    <x:row r="13" ht="21.600000381469727" hidden="0" customHeight="1">
      <x:c r="B13" s="64" t="str"/>
      <x:c r="C13" s="64" t="str"/>
      <x:c r="D13" s="64" t="str">
        <x:v>Implementar APIs de registro y consulta agregada de caracterización</x:v>
      </x:c>
      <x:c r="E13" s="65" t="str">
        <x:v>Ivan Tamayo</x:v>
      </x:c>
      <x:c r="F13" s="65" t="str">
        <x:v>Por iniciar</x:v>
      </x:c>
      <x:c r="G13" s="65" t="n">
        <x:v>6</x:v>
      </x:c>
      <x:c r="H13" s="65" t="n">
        <x:v>0</x:v>
      </x:c>
      <x:c r="I13" s="65" t="n">
        <x:f>G13-H13</x:f>
        <x:v>6</x:v>
      </x:c>
      <x:c r="J13" s="65" t="n">
        <x:v>0</x:v>
      </x:c>
      <x:c r="K13" s="65" t="n">
        <x:f>I13-J13</x:f>
        <x:v>6</x:v>
      </x:c>
      <x:c r="L13" s="65" t="n">
        <x:v>0</x:v>
      </x:c>
      <x:c r="M13" s="65" t="n">
        <x:f>K13-L13</x:f>
        <x:v>6</x:v>
      </x:c>
      <x:c r="N13" s="65" t="n">
        <x:v>0</x:v>
      </x:c>
      <x:c r="O13" s="65" t="n">
        <x:f>M13-N13</x:f>
        <x:v>6</x:v>
      </x:c>
      <x:c r="P13" s="65" t="n">
        <x:v>0</x:v>
      </x:c>
      <x:c r="Q13" s="65" t="n">
        <x:f>O13-P13</x:f>
        <x:v>6</x:v>
      </x:c>
      <x:c r="R13" s="65" t="n">
        <x:v>0</x:v>
      </x:c>
      <x:c r="S13" s="65" t="n">
        <x:f>Q13-R13</x:f>
        <x:v>6</x:v>
      </x:c>
      <x:c r="T13" s="65" t="n">
        <x:v>0</x:v>
      </x:c>
      <x:c r="U13" s="65" t="n">
        <x:f>S13-T13</x:f>
        <x:v>6</x:v>
      </x:c>
      <x:c r="V13" s="65" t="n">
        <x:v>0</x:v>
      </x:c>
      <x:c r="W13" s="65" t="n">
        <x:f>U13-V13</x:f>
        <x:v>6</x:v>
      </x:c>
      <x:c r="X13" s="65" t="n">
        <x:v>0</x:v>
      </x:c>
      <x:c r="Y13" s="65" t="n">
        <x:f>W13-X13</x:f>
        <x:v>6</x:v>
      </x:c>
      <x:c r="Z13" s="65" t="n">
        <x:v>0</x:v>
      </x:c>
      <x:c r="AA13" s="65" t="n">
        <x:f>Y13-Z13</x:f>
        <x:v>6</x:v>
      </x:c>
      <x:c r="AB13" s="65" t="n">
        <x:f>SUM(H13,J13,L13,N13,P13,R13,T13,V13,X13,Z13)</x:f>
        <x:v>0</x:v>
      </x:c>
      <x:c r="AC13" s="65" t="n">
        <x:f>AA13</x:f>
        <x:v>6</x:v>
      </x:c>
    </x:row>
    <x:row r="14" ht="15" hidden="0" customHeight="1">
      <x:c r="B14" s="64" t="str"/>
      <x:c r="C14" s="64" t="str"/>
      <x:c r="D14" s="64" t="str">
        <x:v>Diseñar e implementar formulario de datos de caracterización</x:v>
      </x:c>
      <x:c r="E14" s="65" t="str">
        <x:v>Rodrigo Romero</x:v>
      </x:c>
      <x:c r="F14" s="65" t="str">
        <x:v>Por iniciar</x:v>
      </x:c>
      <x:c r="G14" s="65" t="n">
        <x:v>6</x:v>
      </x:c>
      <x:c r="H14" s="65" t="n">
        <x:v>0</x:v>
      </x:c>
      <x:c r="I14" s="65" t="n">
        <x:f>G14-H14</x:f>
        <x:v>6</x:v>
      </x:c>
      <x:c r="J14" s="65" t="n">
        <x:v>0</x:v>
      </x:c>
      <x:c r="K14" s="65" t="n">
        <x:f>I14-J14</x:f>
        <x:v>6</x:v>
      </x:c>
      <x:c r="L14" s="65" t="n">
        <x:v>0</x:v>
      </x:c>
      <x:c r="M14" s="65" t="n">
        <x:f>K14-L14</x:f>
        <x:v>6</x:v>
      </x:c>
      <x:c r="N14" s="65" t="n">
        <x:v>0</x:v>
      </x:c>
      <x:c r="O14" s="65" t="n">
        <x:f>M14-N14</x:f>
        <x:v>6</x:v>
      </x:c>
      <x:c r="P14" s="65" t="n">
        <x:v>0</x:v>
      </x:c>
      <x:c r="Q14" s="65" t="n">
        <x:f>O14-P14</x:f>
        <x:v>6</x:v>
      </x:c>
      <x:c r="R14" s="65" t="n">
        <x:v>0</x:v>
      </x:c>
      <x:c r="S14" s="65" t="n">
        <x:f>Q14-R14</x:f>
        <x:v>6</x:v>
      </x:c>
      <x:c r="T14" s="65" t="n">
        <x:v>0</x:v>
      </x:c>
      <x:c r="U14" s="65" t="n">
        <x:f>S14-T14</x:f>
        <x:v>6</x:v>
      </x:c>
      <x:c r="V14" s="65" t="n">
        <x:v>0</x:v>
      </x:c>
      <x:c r="W14" s="65" t="n">
        <x:f>U14-V14</x:f>
        <x:v>6</x:v>
      </x:c>
      <x:c r="X14" s="65" t="n">
        <x:v>0</x:v>
      </x:c>
      <x:c r="Y14" s="65" t="n">
        <x:f>W14-X14</x:f>
        <x:v>6</x:v>
      </x:c>
      <x:c r="Z14" s="65" t="n">
        <x:v>0</x:v>
      </x:c>
      <x:c r="AA14" s="65" t="n">
        <x:f>Y14-Z14</x:f>
        <x:v>6</x:v>
      </x:c>
      <x:c r="AB14" s="65" t="n">
        <x:f>SUM(H14,J14,L14,N14,P14,R14,T14,V14,X14,Z14)</x:f>
        <x:v>0</x:v>
      </x:c>
      <x:c r="AC14" s="65" t="n">
        <x:f>AA14</x:f>
        <x:v>6</x:v>
      </x:c>
    </x:row>
    <x:row r="15" ht="15" hidden="0" customHeight="1">
      <x:c r="B15" s="64" t="str"/>
      <x:c r="C15" s="64" t="str"/>
      <x:c r="D15" s="64" t="str">
        <x:v>Diseñar vista de información agregada sin datos personales</x:v>
      </x:c>
      <x:c r="E15" s="65" t="str">
        <x:v>Rodrigo Romero</x:v>
      </x:c>
      <x:c r="F15" s="65" t="str">
        <x:v>Por iniciar</x:v>
      </x:c>
      <x:c r="G15" s="65" t="n">
        <x:v>5</x:v>
      </x:c>
      <x:c r="H15" s="65" t="n">
        <x:v>0</x:v>
      </x:c>
      <x:c r="I15" s="65" t="n">
        <x:f>G15-H15</x:f>
        <x:v>5</x:v>
      </x:c>
      <x:c r="J15" s="65" t="n">
        <x:v>0</x:v>
      </x:c>
      <x:c r="K15" s="65" t="n">
        <x:f>I15-J15</x:f>
        <x:v>5</x:v>
      </x:c>
      <x:c r="L15" s="65" t="n">
        <x:v>0</x:v>
      </x:c>
      <x:c r="M15" s="65" t="n">
        <x:f>K15-L15</x:f>
        <x:v>5</x:v>
      </x:c>
      <x:c r="N15" s="65" t="n">
        <x:v>0</x:v>
      </x:c>
      <x:c r="O15" s="65" t="n">
        <x:f>M15-N15</x:f>
        <x:v>5</x:v>
      </x:c>
      <x:c r="P15" s="65" t="n">
        <x:v>0</x:v>
      </x:c>
      <x:c r="Q15" s="65" t="n">
        <x:f>O15-P15</x:f>
        <x:v>5</x:v>
      </x:c>
      <x:c r="R15" s="65" t="n">
        <x:v>0</x:v>
      </x:c>
      <x:c r="S15" s="65" t="n">
        <x:f>Q15-R15</x:f>
        <x:v>5</x:v>
      </x:c>
      <x:c r="T15" s="65" t="n">
        <x:v>0</x:v>
      </x:c>
      <x:c r="U15" s="65" t="n">
        <x:f>S15-T15</x:f>
        <x:v>5</x:v>
      </x:c>
      <x:c r="V15" s="65" t="n">
        <x:v>0</x:v>
      </x:c>
      <x:c r="W15" s="65" t="n">
        <x:f>U15-V15</x:f>
        <x:v>5</x:v>
      </x:c>
      <x:c r="X15" s="65" t="n">
        <x:v>0</x:v>
      </x:c>
      <x:c r="Y15" s="65" t="n">
        <x:f>W15-X15</x:f>
        <x:v>5</x:v>
      </x:c>
      <x:c r="Z15" s="65" t="n">
        <x:v>0</x:v>
      </x:c>
      <x:c r="AA15" s="65" t="n">
        <x:f>Y15-Z15</x:f>
        <x:v>5</x:v>
      </x:c>
      <x:c r="AB15" s="65" t="n">
        <x:f>SUM(H15,J15,L15,N15,P15,R15,T15,V15,X15,Z15)</x:f>
        <x:v>0</x:v>
      </x:c>
      <x:c r="AC15" s="65" t="n">
        <x:f>AA15</x:f>
        <x:v>5</x:v>
      </x:c>
    </x:row>
    <x:row r="16" ht="15" hidden="0" customHeight="1">
      <x:c r="B16" s="64" t="str"/>
      <x:c r="C16" s="64" t="str"/>
      <x:c r="D16" s="64" t="str">
        <x:v>Ejecutar pruebas de validación, anonimización y permisos</x:v>
      </x:c>
      <x:c r="E16" s="65" t="str">
        <x:v>Richard Diaz</x:v>
      </x:c>
      <x:c r="F16" s="65" t="str">
        <x:v>Por iniciar</x:v>
      </x:c>
      <x:c r="G16" s="65" t="n">
        <x:v>5</x:v>
      </x:c>
      <x:c r="H16" s="65" t="n">
        <x:v>0</x:v>
      </x:c>
      <x:c r="I16" s="65" t="n">
        <x:f>G16-H16</x:f>
        <x:v>5</x:v>
      </x:c>
      <x:c r="J16" s="65" t="n">
        <x:v>0</x:v>
      </x:c>
      <x:c r="K16" s="65" t="n">
        <x:f>I16-J16</x:f>
        <x:v>5</x:v>
      </x:c>
      <x:c r="L16" s="65" t="n">
        <x:v>0</x:v>
      </x:c>
      <x:c r="M16" s="65" t="n">
        <x:f>K16-L16</x:f>
        <x:v>5</x:v>
      </x:c>
      <x:c r="N16" s="65" t="n">
        <x:v>0</x:v>
      </x:c>
      <x:c r="O16" s="65" t="n">
        <x:f>M16-N16</x:f>
        <x:v>5</x:v>
      </x:c>
      <x:c r="P16" s="65" t="n">
        <x:v>0</x:v>
      </x:c>
      <x:c r="Q16" s="65" t="n">
        <x:f>O16-P16</x:f>
        <x:v>5</x:v>
      </x:c>
      <x:c r="R16" s="65" t="n">
        <x:v>0</x:v>
      </x:c>
      <x:c r="S16" s="65" t="n">
        <x:f>Q16-R16</x:f>
        <x:v>5</x:v>
      </x:c>
      <x:c r="T16" s="65" t="n">
        <x:v>0</x:v>
      </x:c>
      <x:c r="U16" s="65" t="n">
        <x:f>S16-T16</x:f>
        <x:v>5</x:v>
      </x:c>
      <x:c r="V16" s="65" t="n">
        <x:v>0</x:v>
      </x:c>
      <x:c r="W16" s="65" t="n">
        <x:f>U16-V16</x:f>
        <x:v>5</x:v>
      </x:c>
      <x:c r="X16" s="65" t="n">
        <x:v>0</x:v>
      </x:c>
      <x:c r="Y16" s="65" t="n">
        <x:f>W16-X16</x:f>
        <x:v>5</x:v>
      </x:c>
      <x:c r="Z16" s="65" t="n">
        <x:v>0</x:v>
      </x:c>
      <x:c r="AA16" s="65" t="n">
        <x:f>Y16-Z16</x:f>
        <x:v>5</x:v>
      </x:c>
      <x:c r="AB16" s="65" t="n">
        <x:f>SUM(H16,J16,L16,N16,P16,R16,T16,V16,X16,Z16)</x:f>
        <x:v>0</x:v>
      </x:c>
      <x:c r="AC16" s="65" t="n">
        <x:f>AA16</x:f>
        <x:v>5</x:v>
      </x:c>
    </x:row>
    <x:row r="17" ht="15" hidden="0" customHeight="1">
      <x:c r="B17" s="64" t="str"/>
      <x:c r="C17" s="64" t="str"/>
      <x:c r="D17" s="64" t="str">
        <x:v>Preparar conjunto de datos sintéticos para demostración</x:v>
      </x:c>
      <x:c r="E17" s="65" t="str">
        <x:v>Richard Diaz</x:v>
      </x:c>
      <x:c r="F17" s="65" t="str">
        <x:v>Por iniciar</x:v>
      </x:c>
      <x:c r="G17" s="65" t="n">
        <x:v>4</x:v>
      </x:c>
      <x:c r="H17" s="65" t="n">
        <x:v>0</x:v>
      </x:c>
      <x:c r="I17" s="65" t="n">
        <x:f>G17-H17</x:f>
        <x:v>4</x:v>
      </x:c>
      <x:c r="J17" s="65" t="n">
        <x:v>0</x:v>
      </x:c>
      <x:c r="K17" s="65" t="n">
        <x:f>I17-J17</x:f>
        <x:v>4</x:v>
      </x:c>
      <x:c r="L17" s="65" t="n">
        <x:v>0</x:v>
      </x:c>
      <x:c r="M17" s="65" t="n">
        <x:f>K17-L17</x:f>
        <x:v>4</x:v>
      </x:c>
      <x:c r="N17" s="65" t="n">
        <x:v>0</x:v>
      </x:c>
      <x:c r="O17" s="65" t="n">
        <x:f>M17-N17</x:f>
        <x:v>4</x:v>
      </x:c>
      <x:c r="P17" s="65" t="n">
        <x:v>0</x:v>
      </x:c>
      <x:c r="Q17" s="65" t="n">
        <x:f>O17-P17</x:f>
        <x:v>4</x:v>
      </x:c>
      <x:c r="R17" s="65" t="n">
        <x:v>0</x:v>
      </x:c>
      <x:c r="S17" s="65" t="n">
        <x:f>Q17-R17</x:f>
        <x:v>4</x:v>
      </x:c>
      <x:c r="T17" s="65" t="n">
        <x:v>0</x:v>
      </x:c>
      <x:c r="U17" s="65" t="n">
        <x:f>S17-T17</x:f>
        <x:v>4</x:v>
      </x:c>
      <x:c r="V17" s="65" t="n">
        <x:v>0</x:v>
      </x:c>
      <x:c r="W17" s="65" t="n">
        <x:f>U17-V17</x:f>
        <x:v>4</x:v>
      </x:c>
      <x:c r="X17" s="65" t="n">
        <x:v>0</x:v>
      </x:c>
      <x:c r="Y17" s="65" t="n">
        <x:f>W17-X17</x:f>
        <x:v>4</x:v>
      </x:c>
      <x:c r="Z17" s="65" t="n">
        <x:v>0</x:v>
      </x:c>
      <x:c r="AA17" s="65" t="n">
        <x:f>Y17-Z17</x:f>
        <x:v>4</x:v>
      </x:c>
      <x:c r="AB17" s="65" t="n">
        <x:f>SUM(H17,J17,L17,N17,P17,R17,T17,V17,X17,Z17)</x:f>
        <x:v>0</x:v>
      </x:c>
      <x:c r="AC17" s="65" t="n">
        <x:f>AA17</x:f>
        <x:v>4</x:v>
      </x:c>
    </x:row>
    <x:row r="18" ht="32.400001525878906" hidden="0" customHeight="1">
      <x:c r="B18" s="63" t="str">
        <x:v>HU-15</x:v>
      </x:c>
      <x:c r="C18" s="63" t="str">
        <x:v>Como usuario autorizado de gestión, quiero obtener indicadores agregados a partir de la información comunitaria, para analizar características y necesidades del territorio con datos actualizados.</x:v>
      </x:c>
      <x:c r="D18" s="64" t="str">
        <x:v>Definir indicadores, fórmulas y reglas de cálculo</x:v>
      </x:c>
      <x:c r="E18" s="65" t="str">
        <x:v>Ivan Tamayo</x:v>
      </x:c>
      <x:c r="F18" s="65" t="str">
        <x:v>Por iniciar</x:v>
      </x:c>
      <x:c r="G18" s="65" t="n">
        <x:v>4</x:v>
      </x:c>
      <x:c r="H18" s="65" t="n">
        <x:v>0</x:v>
      </x:c>
      <x:c r="I18" s="65" t="n">
        <x:f>G18-H18</x:f>
        <x:v>4</x:v>
      </x:c>
      <x:c r="J18" s="65" t="n">
        <x:v>0</x:v>
      </x:c>
      <x:c r="K18" s="65" t="n">
        <x:f>I18-J18</x:f>
        <x:v>4</x:v>
      </x:c>
      <x:c r="L18" s="65" t="n">
        <x:v>0</x:v>
      </x:c>
      <x:c r="M18" s="65" t="n">
        <x:f>K18-L18</x:f>
        <x:v>4</x:v>
      </x:c>
      <x:c r="N18" s="65" t="n">
        <x:v>0</x:v>
      </x:c>
      <x:c r="O18" s="65" t="n">
        <x:f>M18-N18</x:f>
        <x:v>4</x:v>
      </x:c>
      <x:c r="P18" s="65" t="n">
        <x:v>0</x:v>
      </x:c>
      <x:c r="Q18" s="65" t="n">
        <x:f>O18-P18</x:f>
        <x:v>4</x:v>
      </x:c>
      <x:c r="R18" s="65" t="n">
        <x:v>0</x:v>
      </x:c>
      <x:c r="S18" s="65" t="n">
        <x:f>Q18-R18</x:f>
        <x:v>4</x:v>
      </x:c>
      <x:c r="T18" s="65" t="n">
        <x:v>0</x:v>
      </x:c>
      <x:c r="U18" s="65" t="n">
        <x:f>S18-T18</x:f>
        <x:v>4</x:v>
      </x:c>
      <x:c r="V18" s="65" t="n">
        <x:v>0</x:v>
      </x:c>
      <x:c r="W18" s="65" t="n">
        <x:f>U18-V18</x:f>
        <x:v>4</x:v>
      </x:c>
      <x:c r="X18" s="65" t="n">
        <x:v>0</x:v>
      </x:c>
      <x:c r="Y18" s="65" t="n">
        <x:f>W18-X18</x:f>
        <x:v>4</x:v>
      </x:c>
      <x:c r="Z18" s="65" t="n">
        <x:v>0</x:v>
      </x:c>
      <x:c r="AA18" s="65" t="n">
        <x:f>Y18-Z18</x:f>
        <x:v>4</x:v>
      </x:c>
      <x:c r="AB18" s="65" t="n">
        <x:f>SUM(H18,J18,L18,N18,P18,R18,T18,V18,X18,Z18)</x:f>
        <x:v>0</x:v>
      </x:c>
      <x:c r="AC18" s="65" t="n">
        <x:f>AA18</x:f>
        <x:v>4</x:v>
      </x:c>
    </x:row>
    <x:row r="19" ht="21.600000381469727" hidden="0" customHeight="1">
      <x:c r="B19" s="64" t="str"/>
      <x:c r="C19" s="64" t="str"/>
      <x:c r="D19" s="64" t="str">
        <x:v>Implementar consultas de agregación y segmentación en MySQL/Django</x:v>
      </x:c>
      <x:c r="E19" s="65" t="str">
        <x:v>Ivan Tamayo</x:v>
      </x:c>
      <x:c r="F19" s="65" t="str">
        <x:v>Por iniciar</x:v>
      </x:c>
      <x:c r="G19" s="65" t="n">
        <x:v>8</x:v>
      </x:c>
      <x:c r="H19" s="65" t="n">
        <x:v>0</x:v>
      </x:c>
      <x:c r="I19" s="65" t="n">
        <x:f>G19-H19</x:f>
        <x:v>8</x:v>
      </x:c>
      <x:c r="J19" s="65" t="n">
        <x:v>0</x:v>
      </x:c>
      <x:c r="K19" s="65" t="n">
        <x:f>I19-J19</x:f>
        <x:v>8</x:v>
      </x:c>
      <x:c r="L19" s="65" t="n">
        <x:v>0</x:v>
      </x:c>
      <x:c r="M19" s="65" t="n">
        <x:f>K19-L19</x:f>
        <x:v>8</x:v>
      </x:c>
      <x:c r="N19" s="65" t="n">
        <x:v>0</x:v>
      </x:c>
      <x:c r="O19" s="65" t="n">
        <x:f>M19-N19</x:f>
        <x:v>8</x:v>
      </x:c>
      <x:c r="P19" s="65" t="n">
        <x:v>0</x:v>
      </x:c>
      <x:c r="Q19" s="65" t="n">
        <x:f>O19-P19</x:f>
        <x:v>8</x:v>
      </x:c>
      <x:c r="R19" s="65" t="n">
        <x:v>0</x:v>
      </x:c>
      <x:c r="S19" s="65" t="n">
        <x:f>Q19-R19</x:f>
        <x:v>8</x:v>
      </x:c>
      <x:c r="T19" s="65" t="n">
        <x:v>0</x:v>
      </x:c>
      <x:c r="U19" s="65" t="n">
        <x:f>S19-T19</x:f>
        <x:v>8</x:v>
      </x:c>
      <x:c r="V19" s="65" t="n">
        <x:v>0</x:v>
      </x:c>
      <x:c r="W19" s="65" t="n">
        <x:f>U19-V19</x:f>
        <x:v>8</x:v>
      </x:c>
      <x:c r="X19" s="65" t="n">
        <x:v>0</x:v>
      </x:c>
      <x:c r="Y19" s="65" t="n">
        <x:f>W19-X19</x:f>
        <x:v>8</x:v>
      </x:c>
      <x:c r="Z19" s="65" t="n">
        <x:v>0</x:v>
      </x:c>
      <x:c r="AA19" s="65" t="n">
        <x:f>Y19-Z19</x:f>
        <x:v>8</x:v>
      </x:c>
      <x:c r="AB19" s="65" t="n">
        <x:f>SUM(H19,J19,L19,N19,P19,R19,T19,V19,X19,Z19)</x:f>
        <x:v>0</x:v>
      </x:c>
      <x:c r="AC19" s="65" t="n">
        <x:f>AA19</x:f>
        <x:v>8</x:v>
      </x:c>
    </x:row>
    <x:row r="20" ht="15" hidden="0" customHeight="1">
      <x:c r="B20" s="64" t="str"/>
      <x:c r="C20" s="64" t="str"/>
      <x:c r="D20" s="64" t="str">
        <x:v>Implementar servicio y endpoints de indicadores</x:v>
      </x:c>
      <x:c r="E20" s="65" t="str">
        <x:v>Ivan Tamayo</x:v>
      </x:c>
      <x:c r="F20" s="65" t="str">
        <x:v>Por iniciar</x:v>
      </x:c>
      <x:c r="G20" s="65" t="n">
        <x:v>6</x:v>
      </x:c>
      <x:c r="H20" s="65" t="n">
        <x:v>0</x:v>
      </x:c>
      <x:c r="I20" s="65" t="n">
        <x:f>G20-H20</x:f>
        <x:v>6</x:v>
      </x:c>
      <x:c r="J20" s="65" t="n">
        <x:v>0</x:v>
      </x:c>
      <x:c r="K20" s="65" t="n">
        <x:f>I20-J20</x:f>
        <x:v>6</x:v>
      </x:c>
      <x:c r="L20" s="65" t="n">
        <x:v>0</x:v>
      </x:c>
      <x:c r="M20" s="65" t="n">
        <x:f>K20-L20</x:f>
        <x:v>6</x:v>
      </x:c>
      <x:c r="N20" s="65" t="n">
        <x:v>0</x:v>
      </x:c>
      <x:c r="O20" s="65" t="n">
        <x:f>M20-N20</x:f>
        <x:v>6</x:v>
      </x:c>
      <x:c r="P20" s="65" t="n">
        <x:v>0</x:v>
      </x:c>
      <x:c r="Q20" s="65" t="n">
        <x:f>O20-P20</x:f>
        <x:v>6</x:v>
      </x:c>
      <x:c r="R20" s="65" t="n">
        <x:v>0</x:v>
      </x:c>
      <x:c r="S20" s="65" t="n">
        <x:f>Q20-R20</x:f>
        <x:v>6</x:v>
      </x:c>
      <x:c r="T20" s="65" t="n">
        <x:v>0</x:v>
      </x:c>
      <x:c r="U20" s="65" t="n">
        <x:f>S20-T20</x:f>
        <x:v>6</x:v>
      </x:c>
      <x:c r="V20" s="65" t="n">
        <x:v>0</x:v>
      </x:c>
      <x:c r="W20" s="65" t="n">
        <x:f>U20-V20</x:f>
        <x:v>6</x:v>
      </x:c>
      <x:c r="X20" s="65" t="n">
        <x:v>0</x:v>
      </x:c>
      <x:c r="Y20" s="65" t="n">
        <x:f>W20-X20</x:f>
        <x:v>6</x:v>
      </x:c>
      <x:c r="Z20" s="65" t="n">
        <x:v>0</x:v>
      </x:c>
      <x:c r="AA20" s="65" t="n">
        <x:f>Y20-Z20</x:f>
        <x:v>6</x:v>
      </x:c>
      <x:c r="AB20" s="65" t="n">
        <x:f>SUM(H20,J20,L20,N20,P20,R20,T20,V20,X20,Z20)</x:f>
        <x:v>0</x:v>
      </x:c>
      <x:c r="AC20" s="65" t="n">
        <x:f>AA20</x:f>
        <x:v>6</x:v>
      </x:c>
    </x:row>
    <x:row r="21" ht="15" hidden="0" customHeight="1">
      <x:c r="B21" s="64" t="str"/>
      <x:c r="C21" s="64" t="str"/>
      <x:c r="D21" s="64" t="str">
        <x:v>Diseñar componentes visuales para indicadores y métricas</x:v>
      </x:c>
      <x:c r="E21" s="65" t="str">
        <x:v>Rodrigo Romero</x:v>
      </x:c>
      <x:c r="F21" s="65" t="str">
        <x:v>Por iniciar</x:v>
      </x:c>
      <x:c r="G21" s="65" t="n">
        <x:v>6</x:v>
      </x:c>
      <x:c r="H21" s="65" t="n">
        <x:v>0</x:v>
      </x:c>
      <x:c r="I21" s="65" t="n">
        <x:f>G21-H21</x:f>
        <x:v>6</x:v>
      </x:c>
      <x:c r="J21" s="65" t="n">
        <x:v>0</x:v>
      </x:c>
      <x:c r="K21" s="65" t="n">
        <x:f>I21-J21</x:f>
        <x:v>6</x:v>
      </x:c>
      <x:c r="L21" s="65" t="n">
        <x:v>0</x:v>
      </x:c>
      <x:c r="M21" s="65" t="n">
        <x:f>K21-L21</x:f>
        <x:v>6</x:v>
      </x:c>
      <x:c r="N21" s="65" t="n">
        <x:v>0</x:v>
      </x:c>
      <x:c r="O21" s="65" t="n">
        <x:f>M21-N21</x:f>
        <x:v>6</x:v>
      </x:c>
      <x:c r="P21" s="65" t="n">
        <x:v>0</x:v>
      </x:c>
      <x:c r="Q21" s="65" t="n">
        <x:f>O21-P21</x:f>
        <x:v>6</x:v>
      </x:c>
      <x:c r="R21" s="65" t="n">
        <x:v>0</x:v>
      </x:c>
      <x:c r="S21" s="65" t="n">
        <x:f>Q21-R21</x:f>
        <x:v>6</x:v>
      </x:c>
      <x:c r="T21" s="65" t="n">
        <x:v>0</x:v>
      </x:c>
      <x:c r="U21" s="65" t="n">
        <x:f>S21-T21</x:f>
        <x:v>6</x:v>
      </x:c>
      <x:c r="V21" s="65" t="n">
        <x:v>0</x:v>
      </x:c>
      <x:c r="W21" s="65" t="n">
        <x:f>U21-V21</x:f>
        <x:v>6</x:v>
      </x:c>
      <x:c r="X21" s="65" t="n">
        <x:v>0</x:v>
      </x:c>
      <x:c r="Y21" s="65" t="n">
        <x:f>W21-X21</x:f>
        <x:v>6</x:v>
      </x:c>
      <x:c r="Z21" s="65" t="n">
        <x:v>0</x:v>
      </x:c>
      <x:c r="AA21" s="65" t="n">
        <x:f>Y21-Z21</x:f>
        <x:v>6</x:v>
      </x:c>
      <x:c r="AB21" s="65" t="n">
        <x:f>SUM(H21,J21,L21,N21,P21,R21,T21,V21,X21,Z21)</x:f>
        <x:v>0</x:v>
      </x:c>
      <x:c r="AC21" s="65" t="n">
        <x:f>AA21</x:f>
        <x:v>6</x:v>
      </x:c>
    </x:row>
    <x:row r="22" ht="15" hidden="0" customHeight="1">
      <x:c r="B22" s="64" t="str"/>
      <x:c r="C22" s="64" t="str"/>
      <x:c r="D22" s="64" t="str">
        <x:v>Ejecutar pruebas de exactitud y consistencia de datos</x:v>
      </x:c>
      <x:c r="E22" s="65" t="str">
        <x:v>Richard Diaz</x:v>
      </x:c>
      <x:c r="F22" s="65" t="str">
        <x:v>Por iniciar</x:v>
      </x:c>
      <x:c r="G22" s="65" t="n">
        <x:v>5</x:v>
      </x:c>
      <x:c r="H22" s="65" t="n">
        <x:v>0</x:v>
      </x:c>
      <x:c r="I22" s="65" t="n">
        <x:f>G22-H22</x:f>
        <x:v>5</x:v>
      </x:c>
      <x:c r="J22" s="65" t="n">
        <x:v>0</x:v>
      </x:c>
      <x:c r="K22" s="65" t="n">
        <x:f>I22-J22</x:f>
        <x:v>5</x:v>
      </x:c>
      <x:c r="L22" s="65" t="n">
        <x:v>0</x:v>
      </x:c>
      <x:c r="M22" s="65" t="n">
        <x:f>K22-L22</x:f>
        <x:v>5</x:v>
      </x:c>
      <x:c r="N22" s="65" t="n">
        <x:v>0</x:v>
      </x:c>
      <x:c r="O22" s="65" t="n">
        <x:f>M22-N22</x:f>
        <x:v>5</x:v>
      </x:c>
      <x:c r="P22" s="65" t="n">
        <x:v>0</x:v>
      </x:c>
      <x:c r="Q22" s="65" t="n">
        <x:f>O22-P22</x:f>
        <x:v>5</x:v>
      </x:c>
      <x:c r="R22" s="65" t="n">
        <x:v>0</x:v>
      </x:c>
      <x:c r="S22" s="65" t="n">
        <x:f>Q22-R22</x:f>
        <x:v>5</x:v>
      </x:c>
      <x:c r="T22" s="65" t="n">
        <x:v>0</x:v>
      </x:c>
      <x:c r="U22" s="65" t="n">
        <x:f>S22-T22</x:f>
        <x:v>5</x:v>
      </x:c>
      <x:c r="V22" s="65" t="n">
        <x:v>0</x:v>
      </x:c>
      <x:c r="W22" s="65" t="n">
        <x:f>U22-V22</x:f>
        <x:v>5</x:v>
      </x:c>
      <x:c r="X22" s="65" t="n">
        <x:v>0</x:v>
      </x:c>
      <x:c r="Y22" s="65" t="n">
        <x:f>W22-X22</x:f>
        <x:v>5</x:v>
      </x:c>
      <x:c r="Z22" s="65" t="n">
        <x:v>0</x:v>
      </x:c>
      <x:c r="AA22" s="65" t="n">
        <x:f>Y22-Z22</x:f>
        <x:v>5</x:v>
      </x:c>
      <x:c r="AB22" s="65" t="n">
        <x:f>SUM(H22,J22,L22,N22,P22,R22,T22,V22,X22,Z22)</x:f>
        <x:v>0</x:v>
      </x:c>
      <x:c r="AC22" s="65" t="n">
        <x:f>AA22</x:f>
        <x:v>5</x:v>
      </x:c>
    </x:row>
    <x:row r="23" ht="15" hidden="0" customHeight="1">
      <x:c r="B23" s="64" t="str"/>
      <x:c r="C23" s="64" t="str"/>
      <x:c r="D23" s="64" t="str">
        <x:v>Ejecutar pruebas básicas de rendimiento de consultas</x:v>
      </x:c>
      <x:c r="E23" s="65" t="str">
        <x:v>Richard Diaz</x:v>
      </x:c>
      <x:c r="F23" s="65" t="str">
        <x:v>Por iniciar</x:v>
      </x:c>
      <x:c r="G23" s="65" t="n">
        <x:v>3</x:v>
      </x:c>
      <x:c r="H23" s="65" t="n">
        <x:v>0</x:v>
      </x:c>
      <x:c r="I23" s="65" t="n">
        <x:f>G23-H23</x:f>
        <x:v>3</x:v>
      </x:c>
      <x:c r="J23" s="65" t="n">
        <x:v>0</x:v>
      </x:c>
      <x:c r="K23" s="65" t="n">
        <x:f>I23-J23</x:f>
        <x:v>3</x:v>
      </x:c>
      <x:c r="L23" s="65" t="n">
        <x:v>0</x:v>
      </x:c>
      <x:c r="M23" s="65" t="n">
        <x:f>K23-L23</x:f>
        <x:v>3</x:v>
      </x:c>
      <x:c r="N23" s="65" t="n">
        <x:v>0</x:v>
      </x:c>
      <x:c r="O23" s="65" t="n">
        <x:f>M23-N23</x:f>
        <x:v>3</x:v>
      </x:c>
      <x:c r="P23" s="65" t="n">
        <x:v>0</x:v>
      </x:c>
      <x:c r="Q23" s="65" t="n">
        <x:f>O23-P23</x:f>
        <x:v>3</x:v>
      </x:c>
      <x:c r="R23" s="65" t="n">
        <x:v>0</x:v>
      </x:c>
      <x:c r="S23" s="65" t="n">
        <x:f>Q23-R23</x:f>
        <x:v>3</x:v>
      </x:c>
      <x:c r="T23" s="65" t="n">
        <x:v>0</x:v>
      </x:c>
      <x:c r="U23" s="65" t="n">
        <x:f>S23-T23</x:f>
        <x:v>3</x:v>
      </x:c>
      <x:c r="V23" s="65" t="n">
        <x:v>0</x:v>
      </x:c>
      <x:c r="W23" s="65" t="n">
        <x:f>U23-V23</x:f>
        <x:v>3</x:v>
      </x:c>
      <x:c r="X23" s="65" t="n">
        <x:v>0</x:v>
      </x:c>
      <x:c r="Y23" s="65" t="n">
        <x:f>W23-X23</x:f>
        <x:v>3</x:v>
      </x:c>
      <x:c r="Z23" s="65" t="n">
        <x:v>0</x:v>
      </x:c>
      <x:c r="AA23" s="65" t="n">
        <x:f>Y23-Z23</x:f>
        <x:v>3</x:v>
      </x:c>
      <x:c r="AB23" s="65" t="n">
        <x:f>SUM(H23,J23,L23,N23,P23,R23,T23,V23,X23,Z23)</x:f>
        <x:v>0</x:v>
      </x:c>
      <x:c r="AC23" s="65" t="n">
        <x:f>AA23</x:f>
        <x:v>3</x:v>
      </x:c>
    </x:row>
    <x:row r="24" ht="32.400001525878906" hidden="0" customHeight="1">
      <x:c r="B24" s="63" t="str">
        <x:v>HU-16</x:v>
      </x:c>
      <x:c r="C24" s="63" t="str">
        <x:v>Como integrante de la directiva, quiero visualizar un dashboard con información agregada de mi comunidad y exportar reportes de la vista analizada, para apoyar la planificación y gestión local.</x:v>
      </x:c>
      <x:c r="D24" s="64" t="str">
        <x:v>Diseñar estructura y experiencia de usuario del dashboard de directiva</x:v>
      </x:c>
      <x:c r="E24" s="65" t="str">
        <x:v>Rodrigo Romero</x:v>
      </x:c>
      <x:c r="F24" s="65" t="str">
        <x:v>Por iniciar</x:v>
      </x:c>
      <x:c r="G24" s="65" t="n">
        <x:v>5</x:v>
      </x:c>
      <x:c r="H24" s="65" t="n">
        <x:v>0</x:v>
      </x:c>
      <x:c r="I24" s="65" t="n">
        <x:f>G24-H24</x:f>
        <x:v>5</x:v>
      </x:c>
      <x:c r="J24" s="65" t="n">
        <x:v>0</x:v>
      </x:c>
      <x:c r="K24" s="65" t="n">
        <x:f>I24-J24</x:f>
        <x:v>5</x:v>
      </x:c>
      <x:c r="L24" s="65" t="n">
        <x:v>0</x:v>
      </x:c>
      <x:c r="M24" s="65" t="n">
        <x:f>K24-L24</x:f>
        <x:v>5</x:v>
      </x:c>
      <x:c r="N24" s="65" t="n">
        <x:v>0</x:v>
      </x:c>
      <x:c r="O24" s="65" t="n">
        <x:f>M24-N24</x:f>
        <x:v>5</x:v>
      </x:c>
      <x:c r="P24" s="65" t="n">
        <x:v>0</x:v>
      </x:c>
      <x:c r="Q24" s="65" t="n">
        <x:f>O24-P24</x:f>
        <x:v>5</x:v>
      </x:c>
      <x:c r="R24" s="65" t="n">
        <x:v>0</x:v>
      </x:c>
      <x:c r="S24" s="65" t="n">
        <x:f>Q24-R24</x:f>
        <x:v>5</x:v>
      </x:c>
      <x:c r="T24" s="65" t="n">
        <x:v>0</x:v>
      </x:c>
      <x:c r="U24" s="65" t="n">
        <x:f>S24-T24</x:f>
        <x:v>5</x:v>
      </x:c>
      <x:c r="V24" s="65" t="n">
        <x:v>0</x:v>
      </x:c>
      <x:c r="W24" s="65" t="n">
        <x:f>U24-V24</x:f>
        <x:v>5</x:v>
      </x:c>
      <x:c r="X24" s="65" t="n">
        <x:v>0</x:v>
      </x:c>
      <x:c r="Y24" s="65" t="n">
        <x:f>W24-X24</x:f>
        <x:v>5</x:v>
      </x:c>
      <x:c r="Z24" s="65" t="n">
        <x:v>0</x:v>
      </x:c>
      <x:c r="AA24" s="65" t="n">
        <x:f>Y24-Z24</x:f>
        <x:v>5</x:v>
      </x:c>
      <x:c r="AB24" s="65" t="n">
        <x:f>SUM(H24,J24,L24,N24,P24,R24,T24,V24,X24,Z24)</x:f>
        <x:v>0</x:v>
      </x:c>
      <x:c r="AC24" s="65" t="n">
        <x:f>AA24</x:f>
        <x:v>5</x:v>
      </x:c>
    </x:row>
    <x:row r="25" ht="15" hidden="0" customHeight="1">
      <x:c r="B25" s="64" t="str"/>
      <x:c r="C25" s="64" t="str"/>
      <x:c r="D25" s="64" t="str">
        <x:v>Implementar endpoints agregados para el dashboard</x:v>
      </x:c>
      <x:c r="E25" s="65" t="str">
        <x:v>Ivan Tamayo</x:v>
      </x:c>
      <x:c r="F25" s="65" t="str">
        <x:v>Por iniciar</x:v>
      </x:c>
      <x:c r="G25" s="65" t="n">
        <x:v>6</x:v>
      </x:c>
      <x:c r="H25" s="65" t="n">
        <x:v>0</x:v>
      </x:c>
      <x:c r="I25" s="65" t="n">
        <x:f>G25-H25</x:f>
        <x:v>6</x:v>
      </x:c>
      <x:c r="J25" s="65" t="n">
        <x:v>0</x:v>
      </x:c>
      <x:c r="K25" s="65" t="n">
        <x:f>I25-J25</x:f>
        <x:v>6</x:v>
      </x:c>
      <x:c r="L25" s="65" t="n">
        <x:v>0</x:v>
      </x:c>
      <x:c r="M25" s="65" t="n">
        <x:f>K25-L25</x:f>
        <x:v>6</x:v>
      </x:c>
      <x:c r="N25" s="65" t="n">
        <x:v>0</x:v>
      </x:c>
      <x:c r="O25" s="65" t="n">
        <x:f>M25-N25</x:f>
        <x:v>6</x:v>
      </x:c>
      <x:c r="P25" s="65" t="n">
        <x:v>0</x:v>
      </x:c>
      <x:c r="Q25" s="65" t="n">
        <x:f>O25-P25</x:f>
        <x:v>6</x:v>
      </x:c>
      <x:c r="R25" s="65" t="n">
        <x:v>0</x:v>
      </x:c>
      <x:c r="S25" s="65" t="n">
        <x:f>Q25-R25</x:f>
        <x:v>6</x:v>
      </x:c>
      <x:c r="T25" s="65" t="n">
        <x:v>0</x:v>
      </x:c>
      <x:c r="U25" s="65" t="n">
        <x:f>S25-T25</x:f>
        <x:v>6</x:v>
      </x:c>
      <x:c r="V25" s="65" t="n">
        <x:v>0</x:v>
      </x:c>
      <x:c r="W25" s="65" t="n">
        <x:f>U25-V25</x:f>
        <x:v>6</x:v>
      </x:c>
      <x:c r="X25" s="65" t="n">
        <x:v>0</x:v>
      </x:c>
      <x:c r="Y25" s="65" t="n">
        <x:f>W25-X25</x:f>
        <x:v>6</x:v>
      </x:c>
      <x:c r="Z25" s="65" t="n">
        <x:v>0</x:v>
      </x:c>
      <x:c r="AA25" s="65" t="n">
        <x:f>Y25-Z25</x:f>
        <x:v>6</x:v>
      </x:c>
      <x:c r="AB25" s="65" t="n">
        <x:f>SUM(H25,J25,L25,N25,P25,R25,T25,V25,X25,Z25)</x:f>
        <x:v>0</x:v>
      </x:c>
      <x:c r="AC25" s="65" t="n">
        <x:f>AA25</x:f>
        <x:v>6</x:v>
      </x:c>
    </x:row>
    <x:row r="26" ht="15" hidden="0" customHeight="1">
      <x:c r="B26" s="64" t="str"/>
      <x:c r="C26" s="64" t="str"/>
      <x:c r="D26" s="64" t="str">
        <x:v>Implementar gráficos, tarjetas y filtros de la interfaz</x:v>
      </x:c>
      <x:c r="E26" s="65" t="str">
        <x:v>Rodrigo Romero</x:v>
      </x:c>
      <x:c r="F26" s="65" t="str">
        <x:v>Por iniciar</x:v>
      </x:c>
      <x:c r="G26" s="65" t="n">
        <x:v>8</x:v>
      </x:c>
      <x:c r="H26" s="65" t="n">
        <x:v>0</x:v>
      </x:c>
      <x:c r="I26" s="65" t="n">
        <x:f>G26-H26</x:f>
        <x:v>8</x:v>
      </x:c>
      <x:c r="J26" s="65" t="n">
        <x:v>0</x:v>
      </x:c>
      <x:c r="K26" s="65" t="n">
        <x:f>I26-J26</x:f>
        <x:v>8</x:v>
      </x:c>
      <x:c r="L26" s="65" t="n">
        <x:v>0</x:v>
      </x:c>
      <x:c r="M26" s="65" t="n">
        <x:f>K26-L26</x:f>
        <x:v>8</x:v>
      </x:c>
      <x:c r="N26" s="65" t="n">
        <x:v>0</x:v>
      </x:c>
      <x:c r="O26" s="65" t="n">
        <x:f>M26-N26</x:f>
        <x:v>8</x:v>
      </x:c>
      <x:c r="P26" s="65" t="n">
        <x:v>0</x:v>
      </x:c>
      <x:c r="Q26" s="65" t="n">
        <x:f>O26-P26</x:f>
        <x:v>8</x:v>
      </x:c>
      <x:c r="R26" s="65" t="n">
        <x:v>0</x:v>
      </x:c>
      <x:c r="S26" s="65" t="n">
        <x:f>Q26-R26</x:f>
        <x:v>8</x:v>
      </x:c>
      <x:c r="T26" s="65" t="n">
        <x:v>0</x:v>
      </x:c>
      <x:c r="U26" s="65" t="n">
        <x:f>S26-T26</x:f>
        <x:v>8</x:v>
      </x:c>
      <x:c r="V26" s="65" t="n">
        <x:v>0</x:v>
      </x:c>
      <x:c r="W26" s="65" t="n">
        <x:f>U26-V26</x:f>
        <x:v>8</x:v>
      </x:c>
      <x:c r="X26" s="65" t="n">
        <x:v>0</x:v>
      </x:c>
      <x:c r="Y26" s="65" t="n">
        <x:f>W26-X26</x:f>
        <x:v>8</x:v>
      </x:c>
      <x:c r="Z26" s="65" t="n">
        <x:v>0</x:v>
      </x:c>
      <x:c r="AA26" s="65" t="n">
        <x:f>Y26-Z26</x:f>
        <x:v>8</x:v>
      </x:c>
      <x:c r="AB26" s="65" t="n">
        <x:f>SUM(H26,J26,L26,N26,P26,R26,T26,V26,X26,Z26)</x:f>
        <x:v>0</x:v>
      </x:c>
      <x:c r="AC26" s="65" t="n">
        <x:f>AA26</x:f>
        <x:v>8</x:v>
      </x:c>
    </x:row>
    <x:row r="27" ht="15" hidden="0" customHeight="1">
      <x:c r="B27" s="64" t="str"/>
      <x:c r="C27" s="64" t="str"/>
      <x:c r="D27" s="64" t="str">
        <x:v>Implementar generación de archivo de reporte agregado</x:v>
      </x:c>
      <x:c r="E27" s="65" t="str">
        <x:v>Ivan Tamayo</x:v>
      </x:c>
      <x:c r="F27" s="65" t="str">
        <x:v>Por iniciar</x:v>
      </x:c>
      <x:c r="G27" s="65" t="n">
        <x:v>4</x:v>
      </x:c>
      <x:c r="H27" s="65" t="n">
        <x:v>0</x:v>
      </x:c>
      <x:c r="I27" s="65" t="n">
        <x:f>G27-H27</x:f>
        <x:v>4</x:v>
      </x:c>
      <x:c r="J27" s="65" t="n">
        <x:v>0</x:v>
      </x:c>
      <x:c r="K27" s="65" t="n">
        <x:f>I27-J27</x:f>
        <x:v>4</x:v>
      </x:c>
      <x:c r="L27" s="65" t="n">
        <x:v>0</x:v>
      </x:c>
      <x:c r="M27" s="65" t="n">
        <x:f>K27-L27</x:f>
        <x:v>4</x:v>
      </x:c>
      <x:c r="N27" s="65" t="n">
        <x:v>0</x:v>
      </x:c>
      <x:c r="O27" s="65" t="n">
        <x:f>M27-N27</x:f>
        <x:v>4</x:v>
      </x:c>
      <x:c r="P27" s="65" t="n">
        <x:v>0</x:v>
      </x:c>
      <x:c r="Q27" s="65" t="n">
        <x:f>O27-P27</x:f>
        <x:v>4</x:v>
      </x:c>
      <x:c r="R27" s="65" t="n">
        <x:v>0</x:v>
      </x:c>
      <x:c r="S27" s="65" t="n">
        <x:f>Q27-R27</x:f>
        <x:v>4</x:v>
      </x:c>
      <x:c r="T27" s="65" t="n">
        <x:v>0</x:v>
      </x:c>
      <x:c r="U27" s="65" t="n">
        <x:f>S27-T27</x:f>
        <x:v>4</x:v>
      </x:c>
      <x:c r="V27" s="65" t="n">
        <x:v>0</x:v>
      </x:c>
      <x:c r="W27" s="65" t="n">
        <x:f>U27-V27</x:f>
        <x:v>4</x:v>
      </x:c>
      <x:c r="X27" s="65" t="n">
        <x:v>0</x:v>
      </x:c>
      <x:c r="Y27" s="65" t="n">
        <x:f>W27-X27</x:f>
        <x:v>4</x:v>
      </x:c>
      <x:c r="Z27" s="65" t="n">
        <x:v>0</x:v>
      </x:c>
      <x:c r="AA27" s="65" t="n">
        <x:f>Y27-Z27</x:f>
        <x:v>4</x:v>
      </x:c>
      <x:c r="AB27" s="65" t="n">
        <x:f>SUM(H27,J27,L27,N27,P27,R27,T27,V27,X27,Z27)</x:f>
        <x:v>0</x:v>
      </x:c>
      <x:c r="AC27" s="65" t="n">
        <x:f>AA27</x:f>
        <x:v>4</x:v>
      </x:c>
    </x:row>
    <x:row r="28" ht="15" hidden="0" customHeight="1">
      <x:c r="B28" s="64" t="str"/>
      <x:c r="C28" s="64" t="str"/>
      <x:c r="D28" s="64" t="str">
        <x:v>Implementar acción de exportación desde el frontend</x:v>
      </x:c>
      <x:c r="E28" s="65" t="str">
        <x:v>Rodrigo Romero</x:v>
      </x:c>
      <x:c r="F28" s="65" t="str">
        <x:v>Por iniciar</x:v>
      </x:c>
      <x:c r="G28" s="65" t="n">
        <x:v>2</x:v>
      </x:c>
      <x:c r="H28" s="65" t="n">
        <x:v>0</x:v>
      </x:c>
      <x:c r="I28" s="65" t="n">
        <x:f>G28-H28</x:f>
        <x:v>2</x:v>
      </x:c>
      <x:c r="J28" s="65" t="n">
        <x:v>0</x:v>
      </x:c>
      <x:c r="K28" s="65" t="n">
        <x:f>I28-J28</x:f>
        <x:v>2</x:v>
      </x:c>
      <x:c r="L28" s="65" t="n">
        <x:v>0</x:v>
      </x:c>
      <x:c r="M28" s="65" t="n">
        <x:f>K28-L28</x:f>
        <x:v>2</x:v>
      </x:c>
      <x:c r="N28" s="65" t="n">
        <x:v>0</x:v>
      </x:c>
      <x:c r="O28" s="65" t="n">
        <x:f>M28-N28</x:f>
        <x:v>2</x:v>
      </x:c>
      <x:c r="P28" s="65" t="n">
        <x:v>0</x:v>
      </x:c>
      <x:c r="Q28" s="65" t="n">
        <x:f>O28-P28</x:f>
        <x:v>2</x:v>
      </x:c>
      <x:c r="R28" s="65" t="n">
        <x:v>0</x:v>
      </x:c>
      <x:c r="S28" s="65" t="n">
        <x:f>Q28-R28</x:f>
        <x:v>2</x:v>
      </x:c>
      <x:c r="T28" s="65" t="n">
        <x:v>0</x:v>
      </x:c>
      <x:c r="U28" s="65" t="n">
        <x:f>S28-T28</x:f>
        <x:v>2</x:v>
      </x:c>
      <x:c r="V28" s="65" t="n">
        <x:v>0</x:v>
      </x:c>
      <x:c r="W28" s="65" t="n">
        <x:f>U28-V28</x:f>
        <x:v>2</x:v>
      </x:c>
      <x:c r="X28" s="65" t="n">
        <x:v>0</x:v>
      </x:c>
      <x:c r="Y28" s="65" t="n">
        <x:f>W28-X28</x:f>
        <x:v>2</x:v>
      </x:c>
      <x:c r="Z28" s="65" t="n">
        <x:v>0</x:v>
      </x:c>
      <x:c r="AA28" s="65" t="n">
        <x:f>Y28-Z28</x:f>
        <x:v>2</x:v>
      </x:c>
      <x:c r="AB28" s="65" t="n">
        <x:f>SUM(H28,J28,L28,N28,P28,R28,T28,V28,X28,Z28)</x:f>
        <x:v>0</x:v>
      </x:c>
      <x:c r="AC28" s="65" t="n">
        <x:f>AA28</x:f>
        <x:v>2</x:v>
      </x:c>
    </x:row>
    <x:row r="29" ht="15" hidden="0" customHeight="1">
      <x:c r="B29" s="64" t="str"/>
      <x:c r="C29" s="64" t="str"/>
      <x:c r="D29" s="64" t="str">
        <x:v>Probar permisos y ámbito de datos de la junta</x:v>
      </x:c>
      <x:c r="E29" s="65" t="str">
        <x:v>Richard Diaz</x:v>
      </x:c>
      <x:c r="F29" s="65" t="str">
        <x:v>Por iniciar</x:v>
      </x:c>
      <x:c r="G29" s="65" t="n">
        <x:v>3</x:v>
      </x:c>
      <x:c r="H29" s="65" t="n">
        <x:v>0</x:v>
      </x:c>
      <x:c r="I29" s="65" t="n">
        <x:f>G29-H29</x:f>
        <x:v>3</x:v>
      </x:c>
      <x:c r="J29" s="65" t="n">
        <x:v>0</x:v>
      </x:c>
      <x:c r="K29" s="65" t="n">
        <x:f>I29-J29</x:f>
        <x:v>3</x:v>
      </x:c>
      <x:c r="L29" s="65" t="n">
        <x:v>0</x:v>
      </x:c>
      <x:c r="M29" s="65" t="n">
        <x:f>K29-L29</x:f>
        <x:v>3</x:v>
      </x:c>
      <x:c r="N29" s="65" t="n">
        <x:v>0</x:v>
      </x:c>
      <x:c r="O29" s="65" t="n">
        <x:f>M29-N29</x:f>
        <x:v>3</x:v>
      </x:c>
      <x:c r="P29" s="65" t="n">
        <x:v>0</x:v>
      </x:c>
      <x:c r="Q29" s="65" t="n">
        <x:f>O29-P29</x:f>
        <x:v>3</x:v>
      </x:c>
      <x:c r="R29" s="65" t="n">
        <x:v>0</x:v>
      </x:c>
      <x:c r="S29" s="65" t="n">
        <x:f>Q29-R29</x:f>
        <x:v>3</x:v>
      </x:c>
      <x:c r="T29" s="65" t="n">
        <x:v>0</x:v>
      </x:c>
      <x:c r="U29" s="65" t="n">
        <x:f>S29-T29</x:f>
        <x:v>3</x:v>
      </x:c>
      <x:c r="V29" s="65" t="n">
        <x:v>0</x:v>
      </x:c>
      <x:c r="W29" s="65" t="n">
        <x:f>U29-V29</x:f>
        <x:v>3</x:v>
      </x:c>
      <x:c r="X29" s="65" t="n">
        <x:v>0</x:v>
      </x:c>
      <x:c r="Y29" s="65" t="n">
        <x:f>W29-X29</x:f>
        <x:v>3</x:v>
      </x:c>
      <x:c r="Z29" s="65" t="n">
        <x:v>0</x:v>
      </x:c>
      <x:c r="AA29" s="65" t="n">
        <x:f>Y29-Z29</x:f>
        <x:v>3</x:v>
      </x:c>
      <x:c r="AB29" s="65" t="n">
        <x:f>SUM(H29,J29,L29,N29,P29,R29,T29,V29,X29,Z29)</x:f>
        <x:v>0</x:v>
      </x:c>
      <x:c r="AC29" s="65" t="n">
        <x:f>AA29</x:f>
        <x:v>3</x:v>
      </x:c>
    </x:row>
    <x:row r="30" ht="21.600000381469727" hidden="0" customHeight="1">
      <x:c r="B30" s="64" t="str"/>
      <x:c r="C30" s="64" t="str"/>
      <x:c r="D30" s="64" t="str">
        <x:v>Validar consistencia de gráficos, indicadores y reporte exportado</x:v>
      </x:c>
      <x:c r="E30" s="65" t="str">
        <x:v>Richard Diaz</x:v>
      </x:c>
      <x:c r="F30" s="65" t="str">
        <x:v>Por iniciar</x:v>
      </x:c>
      <x:c r="G30" s="65" t="n">
        <x:v>4</x:v>
      </x:c>
      <x:c r="H30" s="65" t="n">
        <x:v>0</x:v>
      </x:c>
      <x:c r="I30" s="65" t="n">
        <x:f>G30-H30</x:f>
        <x:v>4</x:v>
      </x:c>
      <x:c r="J30" s="65" t="n">
        <x:v>0</x:v>
      </x:c>
      <x:c r="K30" s="65" t="n">
        <x:f>I30-J30</x:f>
        <x:v>4</x:v>
      </x:c>
      <x:c r="L30" s="65" t="n">
        <x:v>0</x:v>
      </x:c>
      <x:c r="M30" s="65" t="n">
        <x:f>K30-L30</x:f>
        <x:v>4</x:v>
      </x:c>
      <x:c r="N30" s="65" t="n">
        <x:v>0</x:v>
      </x:c>
      <x:c r="O30" s="65" t="n">
        <x:f>M30-N30</x:f>
        <x:v>4</x:v>
      </x:c>
      <x:c r="P30" s="65" t="n">
        <x:v>0</x:v>
      </x:c>
      <x:c r="Q30" s="65" t="n">
        <x:f>O30-P30</x:f>
        <x:v>4</x:v>
      </x:c>
      <x:c r="R30" s="65" t="n">
        <x:v>0</x:v>
      </x:c>
      <x:c r="S30" s="65" t="n">
        <x:f>Q30-R30</x:f>
        <x:v>4</x:v>
      </x:c>
      <x:c r="T30" s="65" t="n">
        <x:v>0</x:v>
      </x:c>
      <x:c r="U30" s="65" t="n">
        <x:f>S30-T30</x:f>
        <x:v>4</x:v>
      </x:c>
      <x:c r="V30" s="65" t="n">
        <x:v>0</x:v>
      </x:c>
      <x:c r="W30" s="65" t="n">
        <x:f>U30-V30</x:f>
        <x:v>4</x:v>
      </x:c>
      <x:c r="X30" s="65" t="n">
        <x:v>0</x:v>
      </x:c>
      <x:c r="Y30" s="65" t="n">
        <x:f>W30-X30</x:f>
        <x:v>4</x:v>
      </x:c>
      <x:c r="Z30" s="65" t="n">
        <x:v>0</x:v>
      </x:c>
      <x:c r="AA30" s="65" t="n">
        <x:f>Y30-Z30</x:f>
        <x:v>4</x:v>
      </x:c>
      <x:c r="AB30" s="65" t="n">
        <x:f>SUM(H30,J30,L30,N30,P30,R30,T30,V30,X30,Z30)</x:f>
        <x:v>0</x:v>
      </x:c>
      <x:c r="AC30" s="65" t="n">
        <x:f>AA30</x:f>
        <x:v>4</x:v>
      </x:c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30">
    <x:cfRule type="expression" dxfId="24" priority="1">
      <x:formula>F6="Hecho"</x:formula>
    </x:cfRule>
    <x:cfRule type="expression" dxfId="25" priority="2">
      <x:formula>F6="En proceso"</x:formula>
    </x:cfRule>
    <x:cfRule type="expression" dxfId="26" priority="3">
      <x:formula>F6="Por iniciar"</x:formula>
    </x:cfRule>
  </x:conditionalFormatting>
  <x:dataValidations count="2">
    <x:dataValidation type="list" sqref="E6:E30">
      <x:formula1>"Ivan Tamayo,Rodrigo Romero,Richard Diaz,Por definir"</x:formula1>
    </x:dataValidation>
    <x:dataValidation type="list" sqref="F6:F30">
      <x:formula1>"Por iniciar,En proceso,Hecho"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5 | Semanas 13–14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3</x:v>
      </x:c>
      <x:c r="C3" s="17" t="str">
        <x:v>Story Points: 31</x:v>
      </x:c>
      <x:c r="D3" s="17" t="str">
        <x:v>Tareas: 21</x:v>
      </x:c>
      <x:c r="E3" s="17" t="str">
        <x:v>Horas estimadas: 124</x:v>
      </x:c>
      <x:c r="F3" s="17" t="str">
        <x:v>Estado: Por iniciar</x:v>
      </x:c>
      <x:c r="G3" s="17" t="str">
        <x:v>Asignación inicial por rol</x:v>
      </x:c>
    </x:row>
    <x:row r="4" ht="28" customHeight="1"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Product Backlog</x:v>
      </x:c>
      <x:c r="C5" s="34" t="str">
        <x:v>Enunciado del Product Backlog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43.20000076293945" hidden="0" customHeight="1">
      <x:c r="B6" s="63" t="str">
        <x:v>HU-17</x:v>
      </x:c>
      <x:c r="C6" s="63" t="str">
        <x:v>Como usuario municipal, quiero visualizar y comparar indicadores agregados de las juntas de vecinos y exportar reportes de análisis, para identificar brechas territoriales y apoyar la planificación municipal.</x:v>
      </x:c>
      <x:c r="D6" s="64" t="str">
        <x:v>Definir alcance de agregación municipal y permisos territoriales</x:v>
      </x:c>
      <x:c r="E6" s="65" t="str">
        <x:v>Ivan Tamayo</x:v>
      </x:c>
      <x:c r="F6" s="65" t="str">
        <x:v>Por iniciar</x:v>
      </x:c>
      <x:c r="G6" s="65" t="n">
        <x:v>6</x:v>
      </x:c>
      <x:c r="H6" s="65" t="n">
        <x:v>0</x:v>
      </x:c>
      <x:c r="I6" s="65" t="n">
        <x:f>G6-H6</x:f>
        <x:v>6</x:v>
      </x:c>
      <x:c r="J6" s="65" t="n">
        <x:v>0</x:v>
      </x:c>
      <x:c r="K6" s="65" t="n">
        <x:f>I6-J6</x:f>
        <x:v>6</x:v>
      </x:c>
      <x:c r="L6" s="65" t="n">
        <x:v>0</x:v>
      </x:c>
      <x:c r="M6" s="65" t="n">
        <x:f>K6-L6</x:f>
        <x:v>6</x:v>
      </x:c>
      <x:c r="N6" s="65" t="n">
        <x:v>0</x:v>
      </x:c>
      <x:c r="O6" s="65" t="n">
        <x:f>M6-N6</x:f>
        <x:v>6</x:v>
      </x:c>
      <x:c r="P6" s="65" t="n">
        <x:v>0</x:v>
      </x:c>
      <x:c r="Q6" s="65" t="n">
        <x:f>O6-P6</x:f>
        <x:v>6</x:v>
      </x:c>
      <x:c r="R6" s="65" t="n">
        <x:v>0</x:v>
      </x:c>
      <x:c r="S6" s="65" t="n">
        <x:f>Q6-R6</x:f>
        <x:v>6</x:v>
      </x:c>
      <x:c r="T6" s="65" t="n">
        <x:v>0</x:v>
      </x:c>
      <x:c r="U6" s="65" t="n">
        <x:f>S6-T6</x:f>
        <x:v>6</x:v>
      </x:c>
      <x:c r="V6" s="65" t="n">
        <x:v>0</x:v>
      </x:c>
      <x:c r="W6" s="65" t="n">
        <x:f>U6-V6</x:f>
        <x:v>6</x:v>
      </x:c>
      <x:c r="X6" s="65" t="n">
        <x:v>0</x:v>
      </x:c>
      <x:c r="Y6" s="65" t="n">
        <x:f>W6-X6</x:f>
        <x:v>6</x:v>
      </x:c>
      <x:c r="Z6" s="65" t="n">
        <x:v>0</x:v>
      </x:c>
      <x:c r="AA6" s="65" t="n">
        <x:f>Y6-Z6</x:f>
        <x:v>6</x:v>
      </x:c>
      <x:c r="AB6" s="65" t="n">
        <x:f>SUM(H6,J6,L6,N6,P6,R6,T6,V6,X6,Z6)</x:f>
        <x:v>0</x:v>
      </x:c>
      <x:c r="AC6" s="65" t="n">
        <x:f>AA6</x:f>
        <x:v>6</x:v>
      </x:c>
    </x:row>
    <x:row r="7" ht="21.600000381469727" hidden="0" customHeight="1">
      <x:c r="B7" s="64" t="str"/>
      <x:c r="C7" s="64" t="str"/>
      <x:c r="D7" s="64" t="str">
        <x:v>Implementar APIs de agregación y comparación entre juntas y sectores</x:v>
      </x:c>
      <x:c r="E7" s="65" t="str">
        <x:v>Ivan Tamayo</x:v>
      </x:c>
      <x:c r="F7" s="65" t="str">
        <x:v>Por iniciar</x:v>
      </x:c>
      <x:c r="G7" s="65" t="n">
        <x:v>10</x:v>
      </x:c>
      <x:c r="H7" s="65" t="n">
        <x:v>0</x:v>
      </x:c>
      <x:c r="I7" s="65" t="n">
        <x:f>G7-H7</x:f>
        <x:v>10</x:v>
      </x:c>
      <x:c r="J7" s="65" t="n">
        <x:v>0</x:v>
      </x:c>
      <x:c r="K7" s="65" t="n">
        <x:f>I7-J7</x:f>
        <x:v>10</x:v>
      </x:c>
      <x:c r="L7" s="65" t="n">
        <x:v>0</x:v>
      </x:c>
      <x:c r="M7" s="65" t="n">
        <x:f>K7-L7</x:f>
        <x:v>10</x:v>
      </x:c>
      <x:c r="N7" s="65" t="n">
        <x:v>0</x:v>
      </x:c>
      <x:c r="O7" s="65" t="n">
        <x:f>M7-N7</x:f>
        <x:v>10</x:v>
      </x:c>
      <x:c r="P7" s="65" t="n">
        <x:v>0</x:v>
      </x:c>
      <x:c r="Q7" s="65" t="n">
        <x:f>O7-P7</x:f>
        <x:v>10</x:v>
      </x:c>
      <x:c r="R7" s="65" t="n">
        <x:v>0</x:v>
      </x:c>
      <x:c r="S7" s="65" t="n">
        <x:f>Q7-R7</x:f>
        <x:v>10</x:v>
      </x:c>
      <x:c r="T7" s="65" t="n">
        <x:v>0</x:v>
      </x:c>
      <x:c r="U7" s="65" t="n">
        <x:f>S7-T7</x:f>
        <x:v>10</x:v>
      </x:c>
      <x:c r="V7" s="65" t="n">
        <x:v>0</x:v>
      </x:c>
      <x:c r="W7" s="65" t="n">
        <x:f>U7-V7</x:f>
        <x:v>10</x:v>
      </x:c>
      <x:c r="X7" s="65" t="n">
        <x:v>0</x:v>
      </x:c>
      <x:c r="Y7" s="65" t="n">
        <x:f>W7-X7</x:f>
        <x:v>10</x:v>
      </x:c>
      <x:c r="Z7" s="65" t="n">
        <x:v>0</x:v>
      </x:c>
      <x:c r="AA7" s="65" t="n">
        <x:f>Y7-Z7</x:f>
        <x:v>10</x:v>
      </x:c>
      <x:c r="AB7" s="65" t="n">
        <x:f>SUM(H7,J7,L7,N7,P7,R7,T7,V7,X7,Z7)</x:f>
        <x:v>0</x:v>
      </x:c>
      <x:c r="AC7" s="65" t="n">
        <x:f>AA7</x:f>
        <x:v>10</x:v>
      </x:c>
    </x:row>
    <x:row r="8" ht="15" hidden="0" customHeight="1">
      <x:c r="B8" s="64" t="str"/>
      <x:c r="C8" s="64" t="str"/>
      <x:c r="D8" s="64" t="str">
        <x:v>Diseñar experiencia de usuario del dashboard municipal</x:v>
      </x:c>
      <x:c r="E8" s="65" t="str">
        <x:v>Rodrigo Romero</x:v>
      </x:c>
      <x:c r="F8" s="65" t="str">
        <x:v>Por iniciar</x:v>
      </x:c>
      <x:c r="G8" s="65" t="n">
        <x:v>8</x:v>
      </x:c>
      <x:c r="H8" s="65" t="n">
        <x:v>0</x:v>
      </x:c>
      <x:c r="I8" s="65" t="n">
        <x:f>G8-H8</x:f>
        <x:v>8</x:v>
      </x:c>
      <x:c r="J8" s="65" t="n">
        <x:v>0</x:v>
      </x:c>
      <x:c r="K8" s="65" t="n">
        <x:f>I8-J8</x:f>
        <x:v>8</x:v>
      </x:c>
      <x:c r="L8" s="65" t="n">
        <x:v>0</x:v>
      </x:c>
      <x:c r="M8" s="65" t="n">
        <x:f>K8-L8</x:f>
        <x:v>8</x:v>
      </x:c>
      <x:c r="N8" s="65" t="n">
        <x:v>0</x:v>
      </x:c>
      <x:c r="O8" s="65" t="n">
        <x:f>M8-N8</x:f>
        <x:v>8</x:v>
      </x:c>
      <x:c r="P8" s="65" t="n">
        <x:v>0</x:v>
      </x:c>
      <x:c r="Q8" s="65" t="n">
        <x:f>O8-P8</x:f>
        <x:v>8</x:v>
      </x:c>
      <x:c r="R8" s="65" t="n">
        <x:v>0</x:v>
      </x:c>
      <x:c r="S8" s="65" t="n">
        <x:f>Q8-R8</x:f>
        <x:v>8</x:v>
      </x:c>
      <x:c r="T8" s="65" t="n">
        <x:v>0</x:v>
      </x:c>
      <x:c r="U8" s="65" t="n">
        <x:f>S8-T8</x:f>
        <x:v>8</x:v>
      </x:c>
      <x:c r="V8" s="65" t="n">
        <x:v>0</x:v>
      </x:c>
      <x:c r="W8" s="65" t="n">
        <x:f>U8-V8</x:f>
        <x:v>8</x:v>
      </x:c>
      <x:c r="X8" s="65" t="n">
        <x:v>0</x:v>
      </x:c>
      <x:c r="Y8" s="65" t="n">
        <x:f>W8-X8</x:f>
        <x:v>8</x:v>
      </x:c>
      <x:c r="Z8" s="65" t="n">
        <x:v>0</x:v>
      </x:c>
      <x:c r="AA8" s="65" t="n">
        <x:f>Y8-Z8</x:f>
        <x:v>8</x:v>
      </x:c>
      <x:c r="AB8" s="65" t="n">
        <x:f>SUM(H8,J8,L8,N8,P8,R8,T8,V8,X8,Z8)</x:f>
        <x:v>0</x:v>
      </x:c>
      <x:c r="AC8" s="65" t="n">
        <x:f>AA8</x:f>
        <x:v>8</x:v>
      </x:c>
    </x:row>
    <x:row r="9" ht="15" hidden="0" customHeight="1">
      <x:c r="B9" s="64" t="str"/>
      <x:c r="C9" s="64" t="str"/>
      <x:c r="D9" s="64" t="str">
        <x:v>Implementar gráficos comparativos y vistas consolidadas</x:v>
      </x:c>
      <x:c r="E9" s="65" t="str">
        <x:v>Rodrigo Romero</x:v>
      </x:c>
      <x:c r="F9" s="65" t="str">
        <x:v>Por iniciar</x:v>
      </x:c>
      <x:c r="G9" s="65" t="n">
        <x:v>8</x:v>
      </x:c>
      <x:c r="H9" s="65" t="n">
        <x:v>0</x:v>
      </x:c>
      <x:c r="I9" s="65" t="n">
        <x:f>G9-H9</x:f>
        <x:v>8</x:v>
      </x:c>
      <x:c r="J9" s="65" t="n">
        <x:v>0</x:v>
      </x:c>
      <x:c r="K9" s="65" t="n">
        <x:f>I9-J9</x:f>
        <x:v>8</x:v>
      </x:c>
      <x:c r="L9" s="65" t="n">
        <x:v>0</x:v>
      </x:c>
      <x:c r="M9" s="65" t="n">
        <x:f>K9-L9</x:f>
        <x:v>8</x:v>
      </x:c>
      <x:c r="N9" s="65" t="n">
        <x:v>0</x:v>
      </x:c>
      <x:c r="O9" s="65" t="n">
        <x:f>M9-N9</x:f>
        <x:v>8</x:v>
      </x:c>
      <x:c r="P9" s="65" t="n">
        <x:v>0</x:v>
      </x:c>
      <x:c r="Q9" s="65" t="n">
        <x:f>O9-P9</x:f>
        <x:v>8</x:v>
      </x:c>
      <x:c r="R9" s="65" t="n">
        <x:v>0</x:v>
      </x:c>
      <x:c r="S9" s="65" t="n">
        <x:f>Q9-R9</x:f>
        <x:v>8</x:v>
      </x:c>
      <x:c r="T9" s="65" t="n">
        <x:v>0</x:v>
      </x:c>
      <x:c r="U9" s="65" t="n">
        <x:f>S9-T9</x:f>
        <x:v>8</x:v>
      </x:c>
      <x:c r="V9" s="65" t="n">
        <x:v>0</x:v>
      </x:c>
      <x:c r="W9" s="65" t="n">
        <x:f>U9-V9</x:f>
        <x:v>8</x:v>
      </x:c>
      <x:c r="X9" s="65" t="n">
        <x:v>0</x:v>
      </x:c>
      <x:c r="Y9" s="65" t="n">
        <x:f>W9-X9</x:f>
        <x:v>8</x:v>
      </x:c>
      <x:c r="Z9" s="65" t="n">
        <x:v>0</x:v>
      </x:c>
      <x:c r="AA9" s="65" t="n">
        <x:f>Y9-Z9</x:f>
        <x:v>8</x:v>
      </x:c>
      <x:c r="AB9" s="65" t="n">
        <x:f>SUM(H9,J9,L9,N9,P9,R9,T9,V9,X9,Z9)</x:f>
        <x:v>0</x:v>
      </x:c>
      <x:c r="AC9" s="65" t="n">
        <x:f>AA9</x:f>
        <x:v>8</x:v>
      </x:c>
    </x:row>
    <x:row r="10" ht="15" hidden="0" customHeight="1">
      <x:c r="B10" s="64" t="str"/>
      <x:c r="C10" s="64" t="str"/>
      <x:c r="D10" s="64" t="str">
        <x:v>Implementar exportación de reportes municipales agregados</x:v>
      </x:c>
      <x:c r="E10" s="65" t="str">
        <x:v>Ivan Tamayo</x:v>
      </x:c>
      <x:c r="F10" s="65" t="str">
        <x:v>Por iniciar</x:v>
      </x:c>
      <x:c r="G10" s="65" t="n">
        <x:v>6</x:v>
      </x:c>
      <x:c r="H10" s="65" t="n">
        <x:v>0</x:v>
      </x:c>
      <x:c r="I10" s="65" t="n">
        <x:f>G10-H10</x:f>
        <x:v>6</x:v>
      </x:c>
      <x:c r="J10" s="65" t="n">
        <x:v>0</x:v>
      </x:c>
      <x:c r="K10" s="65" t="n">
        <x:f>I10-J10</x:f>
        <x:v>6</x:v>
      </x:c>
      <x:c r="L10" s="65" t="n">
        <x:v>0</x:v>
      </x:c>
      <x:c r="M10" s="65" t="n">
        <x:f>K10-L10</x:f>
        <x:v>6</x:v>
      </x:c>
      <x:c r="N10" s="65" t="n">
        <x:v>0</x:v>
      </x:c>
      <x:c r="O10" s="65" t="n">
        <x:f>M10-N10</x:f>
        <x:v>6</x:v>
      </x:c>
      <x:c r="P10" s="65" t="n">
        <x:v>0</x:v>
      </x:c>
      <x:c r="Q10" s="65" t="n">
        <x:f>O10-P10</x:f>
        <x:v>6</x:v>
      </x:c>
      <x:c r="R10" s="65" t="n">
        <x:v>0</x:v>
      </x:c>
      <x:c r="S10" s="65" t="n">
        <x:f>Q10-R10</x:f>
        <x:v>6</x:v>
      </x:c>
      <x:c r="T10" s="65" t="n">
        <x:v>0</x:v>
      </x:c>
      <x:c r="U10" s="65" t="n">
        <x:f>S10-T10</x:f>
        <x:v>6</x:v>
      </x:c>
      <x:c r="V10" s="65" t="n">
        <x:v>0</x:v>
      </x:c>
      <x:c r="W10" s="65" t="n">
        <x:f>U10-V10</x:f>
        <x:v>6</x:v>
      </x:c>
      <x:c r="X10" s="65" t="n">
        <x:v>0</x:v>
      </x:c>
      <x:c r="Y10" s="65" t="n">
        <x:f>W10-X10</x:f>
        <x:v>6</x:v>
      </x:c>
      <x:c r="Z10" s="65" t="n">
        <x:v>0</x:v>
      </x:c>
      <x:c r="AA10" s="65" t="n">
        <x:f>Y10-Z10</x:f>
        <x:v>6</x:v>
      </x:c>
      <x:c r="AB10" s="65" t="n">
        <x:f>SUM(H10,J10,L10,N10,P10,R10,T10,V10,X10,Z10)</x:f>
        <x:v>0</x:v>
      </x:c>
      <x:c r="AC10" s="65" t="n">
        <x:f>AA10</x:f>
        <x:v>6</x:v>
      </x:c>
    </x:row>
    <x:row r="11" ht="15" hidden="0" customHeight="1">
      <x:c r="B11" s="64" t="str"/>
      <x:c r="C11" s="64" t="str"/>
      <x:c r="D11" s="64" t="str">
        <x:v>Ejecutar pruebas de privacidad y autorización municipal</x:v>
      </x:c>
      <x:c r="E11" s="65" t="str">
        <x:v>Richard Diaz</x:v>
      </x:c>
      <x:c r="F11" s="65" t="str">
        <x:v>Por iniciar</x:v>
      </x:c>
      <x:c r="G11" s="65" t="n">
        <x:v>6</x:v>
      </x:c>
      <x:c r="H11" s="65" t="n">
        <x:v>0</x:v>
      </x:c>
      <x:c r="I11" s="65" t="n">
        <x:f>G11-H11</x:f>
        <x:v>6</x:v>
      </x:c>
      <x:c r="J11" s="65" t="n">
        <x:v>0</x:v>
      </x:c>
      <x:c r="K11" s="65" t="n">
        <x:f>I11-J11</x:f>
        <x:v>6</x:v>
      </x:c>
      <x:c r="L11" s="65" t="n">
        <x:v>0</x:v>
      </x:c>
      <x:c r="M11" s="65" t="n">
        <x:f>K11-L11</x:f>
        <x:v>6</x:v>
      </x:c>
      <x:c r="N11" s="65" t="n">
        <x:v>0</x:v>
      </x:c>
      <x:c r="O11" s="65" t="n">
        <x:f>M11-N11</x:f>
        <x:v>6</x:v>
      </x:c>
      <x:c r="P11" s="65" t="n">
        <x:v>0</x:v>
      </x:c>
      <x:c r="Q11" s="65" t="n">
        <x:f>O11-P11</x:f>
        <x:v>6</x:v>
      </x:c>
      <x:c r="R11" s="65" t="n">
        <x:v>0</x:v>
      </x:c>
      <x:c r="S11" s="65" t="n">
        <x:f>Q11-R11</x:f>
        <x:v>6</x:v>
      </x:c>
      <x:c r="T11" s="65" t="n">
        <x:v>0</x:v>
      </x:c>
      <x:c r="U11" s="65" t="n">
        <x:f>S11-T11</x:f>
        <x:v>6</x:v>
      </x:c>
      <x:c r="V11" s="65" t="n">
        <x:v>0</x:v>
      </x:c>
      <x:c r="W11" s="65" t="n">
        <x:f>U11-V11</x:f>
        <x:v>6</x:v>
      </x:c>
      <x:c r="X11" s="65" t="n">
        <x:v>0</x:v>
      </x:c>
      <x:c r="Y11" s="65" t="n">
        <x:f>W11-X11</x:f>
        <x:v>6</x:v>
      </x:c>
      <x:c r="Z11" s="65" t="n">
        <x:v>0</x:v>
      </x:c>
      <x:c r="AA11" s="65" t="n">
        <x:f>Y11-Z11</x:f>
        <x:v>6</x:v>
      </x:c>
      <x:c r="AB11" s="65" t="n">
        <x:f>SUM(H11,J11,L11,N11,P11,R11,T11,V11,X11,Z11)</x:f>
        <x:v>0</x:v>
      </x:c>
      <x:c r="AC11" s="65" t="n">
        <x:f>AA11</x:f>
        <x:v>6</x:v>
      </x:c>
    </x:row>
    <x:row r="12" ht="15" hidden="0" customHeight="1">
      <x:c r="B12" s="64" t="str"/>
      <x:c r="C12" s="64" t="str"/>
      <x:c r="D12" s="64" t="str">
        <x:v>Validar consistencia y rendimiento de datos consolidados</x:v>
      </x:c>
      <x:c r="E12" s="65" t="str">
        <x:v>Richard Diaz</x:v>
      </x:c>
      <x:c r="F12" s="65" t="str">
        <x:v>Por iniciar</x:v>
      </x:c>
      <x:c r="G12" s="65" t="n">
        <x:v>6</x:v>
      </x:c>
      <x:c r="H12" s="65" t="n">
        <x:v>0</x:v>
      </x:c>
      <x:c r="I12" s="65" t="n">
        <x:f>G12-H12</x:f>
        <x:v>6</x:v>
      </x:c>
      <x:c r="J12" s="65" t="n">
        <x:v>0</x:v>
      </x:c>
      <x:c r="K12" s="65" t="n">
        <x:f>I12-J12</x:f>
        <x:v>6</x:v>
      </x:c>
      <x:c r="L12" s="65" t="n">
        <x:v>0</x:v>
      </x:c>
      <x:c r="M12" s="65" t="n">
        <x:f>K12-L12</x:f>
        <x:v>6</x:v>
      </x:c>
      <x:c r="N12" s="65" t="n">
        <x:v>0</x:v>
      </x:c>
      <x:c r="O12" s="65" t="n">
        <x:f>M12-N12</x:f>
        <x:v>6</x:v>
      </x:c>
      <x:c r="P12" s="65" t="n">
        <x:v>0</x:v>
      </x:c>
      <x:c r="Q12" s="65" t="n">
        <x:f>O12-P12</x:f>
        <x:v>6</x:v>
      </x:c>
      <x:c r="R12" s="65" t="n">
        <x:v>0</x:v>
      </x:c>
      <x:c r="S12" s="65" t="n">
        <x:f>Q12-R12</x:f>
        <x:v>6</x:v>
      </x:c>
      <x:c r="T12" s="65" t="n">
        <x:v>0</x:v>
      </x:c>
      <x:c r="U12" s="65" t="n">
        <x:f>S12-T12</x:f>
        <x:v>6</x:v>
      </x:c>
      <x:c r="V12" s="65" t="n">
        <x:v>0</x:v>
      </x:c>
      <x:c r="W12" s="65" t="n">
        <x:f>U12-V12</x:f>
        <x:v>6</x:v>
      </x:c>
      <x:c r="X12" s="65" t="n">
        <x:v>0</x:v>
      </x:c>
      <x:c r="Y12" s="65" t="n">
        <x:f>W12-X12</x:f>
        <x:v>6</x:v>
      </x:c>
      <x:c r="Z12" s="65" t="n">
        <x:v>0</x:v>
      </x:c>
      <x:c r="AA12" s="65" t="n">
        <x:f>Y12-Z12</x:f>
        <x:v>6</x:v>
      </x:c>
      <x:c r="AB12" s="65" t="n">
        <x:f>SUM(H12,J12,L12,N12,P12,R12,T12,V12,X12,Z12)</x:f>
        <x:v>0</x:v>
      </x:c>
      <x:c r="AC12" s="65" t="n">
        <x:f>AA12</x:f>
        <x:v>6</x:v>
      </x:c>
    </x:row>
    <x:row r="13" ht="21.600000381469727" hidden="0" customHeight="1">
      <x:c r="B13" s="64" t="str"/>
      <x:c r="C13" s="64" t="str"/>
      <x:c r="D13" s="64" t="str">
        <x:v>Preparar datos sintéticos de múltiples juntas para demostración</x:v>
      </x:c>
      <x:c r="E13" s="65" t="str">
        <x:v>Richard Diaz</x:v>
      </x:c>
      <x:c r="F13" s="65" t="str">
        <x:v>Por iniciar</x:v>
      </x:c>
      <x:c r="G13" s="65" t="n">
        <x:v>2</x:v>
      </x:c>
      <x:c r="H13" s="65" t="n">
        <x:v>0</x:v>
      </x:c>
      <x:c r="I13" s="65" t="n">
        <x:f>G13-H13</x:f>
        <x:v>2</x:v>
      </x:c>
      <x:c r="J13" s="65" t="n">
        <x:v>0</x:v>
      </x:c>
      <x:c r="K13" s="65" t="n">
        <x:f>I13-J13</x:f>
        <x:v>2</x:v>
      </x:c>
      <x:c r="L13" s="65" t="n">
        <x:v>0</x:v>
      </x:c>
      <x:c r="M13" s="65" t="n">
        <x:f>K13-L13</x:f>
        <x:v>2</x:v>
      </x:c>
      <x:c r="N13" s="65" t="n">
        <x:v>0</x:v>
      </x:c>
      <x:c r="O13" s="65" t="n">
        <x:f>M13-N13</x:f>
        <x:v>2</x:v>
      </x:c>
      <x:c r="P13" s="65" t="n">
        <x:v>0</x:v>
      </x:c>
      <x:c r="Q13" s="65" t="n">
        <x:f>O13-P13</x:f>
        <x:v>2</x:v>
      </x:c>
      <x:c r="R13" s="65" t="n">
        <x:v>0</x:v>
      </x:c>
      <x:c r="S13" s="65" t="n">
        <x:f>Q13-R13</x:f>
        <x:v>2</x:v>
      </x:c>
      <x:c r="T13" s="65" t="n">
        <x:v>0</x:v>
      </x:c>
      <x:c r="U13" s="65" t="n">
        <x:f>S13-T13</x:f>
        <x:v>2</x:v>
      </x:c>
      <x:c r="V13" s="65" t="n">
        <x:v>0</x:v>
      </x:c>
      <x:c r="W13" s="65" t="n">
        <x:f>U13-V13</x:f>
        <x:v>2</x:v>
      </x:c>
      <x:c r="X13" s="65" t="n">
        <x:v>0</x:v>
      </x:c>
      <x:c r="Y13" s="65" t="n">
        <x:f>W13-X13</x:f>
        <x:v>2</x:v>
      </x:c>
      <x:c r="Z13" s="65" t="n">
        <x:v>0</x:v>
      </x:c>
      <x:c r="AA13" s="65" t="n">
        <x:f>Y13-Z13</x:f>
        <x:v>2</x:v>
      </x:c>
      <x:c r="AB13" s="65" t="n">
        <x:f>SUM(H13,J13,L13,N13,P13,R13,T13,V13,X13,Z13)</x:f>
        <x:v>0</x:v>
      </x:c>
      <x:c r="AC13" s="65" t="n">
        <x:f>AA13</x:f>
        <x:v>2</x:v>
      </x:c>
    </x:row>
    <x:row r="14" ht="32.400001525878906" hidden="0" customHeight="1">
      <x:c r="B14" s="63" t="str">
        <x:v>HU-18</x:v>
      </x:c>
      <x:c r="C14" s="63" t="str">
        <x:v>Como usuario autorizado, quiero aplicar filtros por junta de vecinos, sector y rango etario, para analizar una parte específica de la información territorial.</x:v>
      </x:c>
      <x:c r="D14" s="64" t="str">
        <x:v>Implementar parámetros y consultas de filtrado en backend</x:v>
      </x:c>
      <x:c r="E14" s="65" t="str">
        <x:v>Ivan Tamayo</x:v>
      </x:c>
      <x:c r="F14" s="65" t="str">
        <x:v>Por iniciar</x:v>
      </x:c>
      <x:c r="G14" s="65" t="n">
        <x:v>5</x:v>
      </x:c>
      <x:c r="H14" s="65" t="n">
        <x:v>0</x:v>
      </x:c>
      <x:c r="I14" s="65" t="n">
        <x:f>G14-H14</x:f>
        <x:v>5</x:v>
      </x:c>
      <x:c r="J14" s="65" t="n">
        <x:v>0</x:v>
      </x:c>
      <x:c r="K14" s="65" t="n">
        <x:f>I14-J14</x:f>
        <x:v>5</x:v>
      </x:c>
      <x:c r="L14" s="65" t="n">
        <x:v>0</x:v>
      </x:c>
      <x:c r="M14" s="65" t="n">
        <x:f>K14-L14</x:f>
        <x:v>5</x:v>
      </x:c>
      <x:c r="N14" s="65" t="n">
        <x:v>0</x:v>
      </x:c>
      <x:c r="O14" s="65" t="n">
        <x:f>M14-N14</x:f>
        <x:v>5</x:v>
      </x:c>
      <x:c r="P14" s="65" t="n">
        <x:v>0</x:v>
      </x:c>
      <x:c r="Q14" s="65" t="n">
        <x:f>O14-P14</x:f>
        <x:v>5</x:v>
      </x:c>
      <x:c r="R14" s="65" t="n">
        <x:v>0</x:v>
      </x:c>
      <x:c r="S14" s="65" t="n">
        <x:f>Q14-R14</x:f>
        <x:v>5</x:v>
      </x:c>
      <x:c r="T14" s="65" t="n">
        <x:v>0</x:v>
      </x:c>
      <x:c r="U14" s="65" t="n">
        <x:f>S14-T14</x:f>
        <x:v>5</x:v>
      </x:c>
      <x:c r="V14" s="65" t="n">
        <x:v>0</x:v>
      </x:c>
      <x:c r="W14" s="65" t="n">
        <x:f>U14-V14</x:f>
        <x:v>5</x:v>
      </x:c>
      <x:c r="X14" s="65" t="n">
        <x:v>0</x:v>
      </x:c>
      <x:c r="Y14" s="65" t="n">
        <x:f>W14-X14</x:f>
        <x:v>5</x:v>
      </x:c>
      <x:c r="Z14" s="65" t="n">
        <x:v>0</x:v>
      </x:c>
      <x:c r="AA14" s="65" t="n">
        <x:f>Y14-Z14</x:f>
        <x:v>5</x:v>
      </x:c>
      <x:c r="AB14" s="65" t="n">
        <x:f>SUM(H14,J14,L14,N14,P14,R14,T14,V14,X14,Z14)</x:f>
        <x:v>0</x:v>
      </x:c>
      <x:c r="AC14" s="65" t="n">
        <x:f>AA14</x:f>
        <x:v>5</x:v>
      </x:c>
    </x:row>
    <x:row r="15" ht="15" hidden="0" customHeight="1">
      <x:c r="B15" s="64" t="str"/>
      <x:c r="C15" s="64" t="str"/>
      <x:c r="D15" s="64" t="str">
        <x:v>Diseñar e implementar controles de filtros territoriales</x:v>
      </x:c>
      <x:c r="E15" s="65" t="str">
        <x:v>Rodrigo Romero</x:v>
      </x:c>
      <x:c r="F15" s="65" t="str">
        <x:v>Por iniciar</x:v>
      </x:c>
      <x:c r="G15" s="65" t="n">
        <x:v>5</x:v>
      </x:c>
      <x:c r="H15" s="65" t="n">
        <x:v>0</x:v>
      </x:c>
      <x:c r="I15" s="65" t="n">
        <x:f>G15-H15</x:f>
        <x:v>5</x:v>
      </x:c>
      <x:c r="J15" s="65" t="n">
        <x:v>0</x:v>
      </x:c>
      <x:c r="K15" s="65" t="n">
        <x:f>I15-J15</x:f>
        <x:v>5</x:v>
      </x:c>
      <x:c r="L15" s="65" t="n">
        <x:v>0</x:v>
      </x:c>
      <x:c r="M15" s="65" t="n">
        <x:f>K15-L15</x:f>
        <x:v>5</x:v>
      </x:c>
      <x:c r="N15" s="65" t="n">
        <x:v>0</x:v>
      </x:c>
      <x:c r="O15" s="65" t="n">
        <x:f>M15-N15</x:f>
        <x:v>5</x:v>
      </x:c>
      <x:c r="P15" s="65" t="n">
        <x:v>0</x:v>
      </x:c>
      <x:c r="Q15" s="65" t="n">
        <x:f>O15-P15</x:f>
        <x:v>5</x:v>
      </x:c>
      <x:c r="R15" s="65" t="n">
        <x:v>0</x:v>
      </x:c>
      <x:c r="S15" s="65" t="n">
        <x:f>Q15-R15</x:f>
        <x:v>5</x:v>
      </x:c>
      <x:c r="T15" s="65" t="n">
        <x:v>0</x:v>
      </x:c>
      <x:c r="U15" s="65" t="n">
        <x:f>S15-T15</x:f>
        <x:v>5</x:v>
      </x:c>
      <x:c r="V15" s="65" t="n">
        <x:v>0</x:v>
      </x:c>
      <x:c r="W15" s="65" t="n">
        <x:f>U15-V15</x:f>
        <x:v>5</x:v>
      </x:c>
      <x:c r="X15" s="65" t="n">
        <x:v>0</x:v>
      </x:c>
      <x:c r="Y15" s="65" t="n">
        <x:f>W15-X15</x:f>
        <x:v>5</x:v>
      </x:c>
      <x:c r="Z15" s="65" t="n">
        <x:v>0</x:v>
      </x:c>
      <x:c r="AA15" s="65" t="n">
        <x:f>Y15-Z15</x:f>
        <x:v>5</x:v>
      </x:c>
      <x:c r="AB15" s="65" t="n">
        <x:f>SUM(H15,J15,L15,N15,P15,R15,T15,V15,X15,Z15)</x:f>
        <x:v>0</x:v>
      </x:c>
      <x:c r="AC15" s="65" t="n">
        <x:f>AA15</x:f>
        <x:v>5</x:v>
      </x:c>
    </x:row>
    <x:row r="16" ht="15" hidden="0" customHeight="1">
      <x:c r="B16" s="64" t="str"/>
      <x:c r="C16" s="64" t="str"/>
      <x:c r="D16" s="64" t="str">
        <x:v>Sincronizar filtros con gráficos, indicadores y tablas</x:v>
      </x:c>
      <x:c r="E16" s="65" t="str">
        <x:v>Rodrigo Romero</x:v>
      </x:c>
      <x:c r="F16" s="65" t="str">
        <x:v>Por iniciar</x:v>
      </x:c>
      <x:c r="G16" s="65" t="n">
        <x:v>4</x:v>
      </x:c>
      <x:c r="H16" s="65" t="n">
        <x:v>0</x:v>
      </x:c>
      <x:c r="I16" s="65" t="n">
        <x:f>G16-H16</x:f>
        <x:v>4</x:v>
      </x:c>
      <x:c r="J16" s="65" t="n">
        <x:v>0</x:v>
      </x:c>
      <x:c r="K16" s="65" t="n">
        <x:f>I16-J16</x:f>
        <x:v>4</x:v>
      </x:c>
      <x:c r="L16" s="65" t="n">
        <x:v>0</x:v>
      </x:c>
      <x:c r="M16" s="65" t="n">
        <x:f>K16-L16</x:f>
        <x:v>4</x:v>
      </x:c>
      <x:c r="N16" s="65" t="n">
        <x:v>0</x:v>
      </x:c>
      <x:c r="O16" s="65" t="n">
        <x:f>M16-N16</x:f>
        <x:v>4</x:v>
      </x:c>
      <x:c r="P16" s="65" t="n">
        <x:v>0</x:v>
      </x:c>
      <x:c r="Q16" s="65" t="n">
        <x:f>O16-P16</x:f>
        <x:v>4</x:v>
      </x:c>
      <x:c r="R16" s="65" t="n">
        <x:v>0</x:v>
      </x:c>
      <x:c r="S16" s="65" t="n">
        <x:f>Q16-R16</x:f>
        <x:v>4</x:v>
      </x:c>
      <x:c r="T16" s="65" t="n">
        <x:v>0</x:v>
      </x:c>
      <x:c r="U16" s="65" t="n">
        <x:f>S16-T16</x:f>
        <x:v>4</x:v>
      </x:c>
      <x:c r="V16" s="65" t="n">
        <x:v>0</x:v>
      </x:c>
      <x:c r="W16" s="65" t="n">
        <x:f>U16-V16</x:f>
        <x:v>4</x:v>
      </x:c>
      <x:c r="X16" s="65" t="n">
        <x:v>0</x:v>
      </x:c>
      <x:c r="Y16" s="65" t="n">
        <x:f>W16-X16</x:f>
        <x:v>4</x:v>
      </x:c>
      <x:c r="Z16" s="65" t="n">
        <x:v>0</x:v>
      </x:c>
      <x:c r="AA16" s="65" t="n">
        <x:f>Y16-Z16</x:f>
        <x:v>4</x:v>
      </x:c>
      <x:c r="AB16" s="65" t="n">
        <x:f>SUM(H16,J16,L16,N16,P16,R16,T16,V16,X16,Z16)</x:f>
        <x:v>0</x:v>
      </x:c>
      <x:c r="AC16" s="65" t="n">
        <x:f>AA16</x:f>
        <x:v>4</x:v>
      </x:c>
    </x:row>
    <x:row r="17" ht="21.600000381469727" hidden="0" customHeight="1">
      <x:c r="B17" s="64" t="str"/>
      <x:c r="C17" s="64" t="str"/>
      <x:c r="D17" s="64" t="str">
        <x:v>Probar permisos, combinaciones sin resultados y restablecimiento</x:v>
      </x:c>
      <x:c r="E17" s="65" t="str">
        <x:v>Richard Diaz</x:v>
      </x:c>
      <x:c r="F17" s="65" t="str">
        <x:v>Por iniciar</x:v>
      </x:c>
      <x:c r="G17" s="65" t="n">
        <x:v>3</x:v>
      </x:c>
      <x:c r="H17" s="65" t="n">
        <x:v>0</x:v>
      </x:c>
      <x:c r="I17" s="65" t="n">
        <x:f>G17-H17</x:f>
        <x:v>3</x:v>
      </x:c>
      <x:c r="J17" s="65" t="n">
        <x:v>0</x:v>
      </x:c>
      <x:c r="K17" s="65" t="n">
        <x:f>I17-J17</x:f>
        <x:v>3</x:v>
      </x:c>
      <x:c r="L17" s="65" t="n">
        <x:v>0</x:v>
      </x:c>
      <x:c r="M17" s="65" t="n">
        <x:f>K17-L17</x:f>
        <x:v>3</x:v>
      </x:c>
      <x:c r="N17" s="65" t="n">
        <x:v>0</x:v>
      </x:c>
      <x:c r="O17" s="65" t="n">
        <x:f>M17-N17</x:f>
        <x:v>3</x:v>
      </x:c>
      <x:c r="P17" s="65" t="n">
        <x:v>0</x:v>
      </x:c>
      <x:c r="Q17" s="65" t="n">
        <x:f>O17-P17</x:f>
        <x:v>3</x:v>
      </x:c>
      <x:c r="R17" s="65" t="n">
        <x:v>0</x:v>
      </x:c>
      <x:c r="S17" s="65" t="n">
        <x:f>Q17-R17</x:f>
        <x:v>3</x:v>
      </x:c>
      <x:c r="T17" s="65" t="n">
        <x:v>0</x:v>
      </x:c>
      <x:c r="U17" s="65" t="n">
        <x:f>S17-T17</x:f>
        <x:v>3</x:v>
      </x:c>
      <x:c r="V17" s="65" t="n">
        <x:v>0</x:v>
      </x:c>
      <x:c r="W17" s="65" t="n">
        <x:f>U17-V17</x:f>
        <x:v>3</x:v>
      </x:c>
      <x:c r="X17" s="65" t="n">
        <x:v>0</x:v>
      </x:c>
      <x:c r="Y17" s="65" t="n">
        <x:f>W17-X17</x:f>
        <x:v>3</x:v>
      </x:c>
      <x:c r="Z17" s="65" t="n">
        <x:v>0</x:v>
      </x:c>
      <x:c r="AA17" s="65" t="n">
        <x:f>Y17-Z17</x:f>
        <x:v>3</x:v>
      </x:c>
      <x:c r="AB17" s="65" t="n">
        <x:f>SUM(H17,J17,L17,N17,P17,R17,T17,V17,X17,Z17)</x:f>
        <x:v>0</x:v>
      </x:c>
      <x:c r="AC17" s="65" t="n">
        <x:f>AA17</x:f>
        <x:v>3</x:v>
      </x:c>
    </x:row>
    <x:row r="18" ht="15" hidden="0" customHeight="1">
      <x:c r="B18" s="64" t="str"/>
      <x:c r="C18" s="64" t="str"/>
      <x:c r="D18" s="64" t="str">
        <x:v>Ejecutar pruebas de integración y rendimiento de filtros</x:v>
      </x:c>
      <x:c r="E18" s="65" t="str">
        <x:v>Richard Diaz</x:v>
      </x:c>
      <x:c r="F18" s="65" t="str">
        <x:v>Por iniciar</x:v>
      </x:c>
      <x:c r="G18" s="65" t="n">
        <x:v>3</x:v>
      </x:c>
      <x:c r="H18" s="65" t="n">
        <x:v>0</x:v>
      </x:c>
      <x:c r="I18" s="65" t="n">
        <x:f>G18-H18</x:f>
        <x:v>3</x:v>
      </x:c>
      <x:c r="J18" s="65" t="n">
        <x:v>0</x:v>
      </x:c>
      <x:c r="K18" s="65" t="n">
        <x:f>I18-J18</x:f>
        <x:v>3</x:v>
      </x:c>
      <x:c r="L18" s="65" t="n">
        <x:v>0</x:v>
      </x:c>
      <x:c r="M18" s="65" t="n">
        <x:f>K18-L18</x:f>
        <x:v>3</x:v>
      </x:c>
      <x:c r="N18" s="65" t="n">
        <x:v>0</x:v>
      </x:c>
      <x:c r="O18" s="65" t="n">
        <x:f>M18-N18</x:f>
        <x:v>3</x:v>
      </x:c>
      <x:c r="P18" s="65" t="n">
        <x:v>0</x:v>
      </x:c>
      <x:c r="Q18" s="65" t="n">
        <x:f>O18-P18</x:f>
        <x:v>3</x:v>
      </x:c>
      <x:c r="R18" s="65" t="n">
        <x:v>0</x:v>
      </x:c>
      <x:c r="S18" s="65" t="n">
        <x:f>Q18-R18</x:f>
        <x:v>3</x:v>
      </x:c>
      <x:c r="T18" s="65" t="n">
        <x:v>0</x:v>
      </x:c>
      <x:c r="U18" s="65" t="n">
        <x:f>S18-T18</x:f>
        <x:v>3</x:v>
      </x:c>
      <x:c r="V18" s="65" t="n">
        <x:v>0</x:v>
      </x:c>
      <x:c r="W18" s="65" t="n">
        <x:f>U18-V18</x:f>
        <x:v>3</x:v>
      </x:c>
      <x:c r="X18" s="65" t="n">
        <x:v>0</x:v>
      </x:c>
      <x:c r="Y18" s="65" t="n">
        <x:f>W18-X18</x:f>
        <x:v>3</x:v>
      </x:c>
      <x:c r="Z18" s="65" t="n">
        <x:v>0</x:v>
      </x:c>
      <x:c r="AA18" s="65" t="n">
        <x:f>Y18-Z18</x:f>
        <x:v>3</x:v>
      </x:c>
      <x:c r="AB18" s="65" t="n">
        <x:f>SUM(H18,J18,L18,N18,P18,R18,T18,V18,X18,Z18)</x:f>
        <x:v>0</x:v>
      </x:c>
      <x:c r="AC18" s="65" t="n">
        <x:f>AA18</x:f>
        <x:v>3</x:v>
      </x:c>
    </x:row>
    <x:row r="19" ht="43.20000076293945" hidden="0" customHeight="1">
      <x:c r="B19" s="63" t="str">
        <x:v>HU-19</x:v>
      </x:c>
      <x:c r="C19" s="63" t="str">
        <x:v>Como vecino o integrante de la directiva, quiero consultar un chatbot de preguntas frecuentes, para recibir orientación rápida sobre la junta, actividades, publicaciones, documentos y uso de la plataforma.</x:v>
      </x:c>
      <x:c r="D19" s="64" t="str">
        <x:v>Definir alcance FAQ, reglas del prompt y política de seguridad</x:v>
      </x:c>
      <x:c r="E19" s="65" t="str">
        <x:v>Ivan Tamayo</x:v>
      </x:c>
      <x:c r="F19" s="65" t="str">
        <x:v>Por iniciar</x:v>
      </x:c>
      <x:c r="G19" s="65" t="n">
        <x:v>6</x:v>
      </x:c>
      <x:c r="H19" s="65" t="n">
        <x:v>0</x:v>
      </x:c>
      <x:c r="I19" s="65" t="n">
        <x:f>G19-H19</x:f>
        <x:v>6</x:v>
      </x:c>
      <x:c r="J19" s="65" t="n">
        <x:v>0</x:v>
      </x:c>
      <x:c r="K19" s="65" t="n">
        <x:f>I19-J19</x:f>
        <x:v>6</x:v>
      </x:c>
      <x:c r="L19" s="65" t="n">
        <x:v>0</x:v>
      </x:c>
      <x:c r="M19" s="65" t="n">
        <x:f>K19-L19</x:f>
        <x:v>6</x:v>
      </x:c>
      <x:c r="N19" s="65" t="n">
        <x:v>0</x:v>
      </x:c>
      <x:c r="O19" s="65" t="n">
        <x:f>M19-N19</x:f>
        <x:v>6</x:v>
      </x:c>
      <x:c r="P19" s="65" t="n">
        <x:v>0</x:v>
      </x:c>
      <x:c r="Q19" s="65" t="n">
        <x:f>O19-P19</x:f>
        <x:v>6</x:v>
      </x:c>
      <x:c r="R19" s="65" t="n">
        <x:v>0</x:v>
      </x:c>
      <x:c r="S19" s="65" t="n">
        <x:f>Q19-R19</x:f>
        <x:v>6</x:v>
      </x:c>
      <x:c r="T19" s="65" t="n">
        <x:v>0</x:v>
      </x:c>
      <x:c r="U19" s="65" t="n">
        <x:f>S19-T19</x:f>
        <x:v>6</x:v>
      </x:c>
      <x:c r="V19" s="65" t="n">
        <x:v>0</x:v>
      </x:c>
      <x:c r="W19" s="65" t="n">
        <x:f>U19-V19</x:f>
        <x:v>6</x:v>
      </x:c>
      <x:c r="X19" s="65" t="n">
        <x:v>0</x:v>
      </x:c>
      <x:c r="Y19" s="65" t="n">
        <x:f>W19-X19</x:f>
        <x:v>6</x:v>
      </x:c>
      <x:c r="Z19" s="65" t="n">
        <x:v>0</x:v>
      </x:c>
      <x:c r="AA19" s="65" t="n">
        <x:f>Y19-Z19</x:f>
        <x:v>6</x:v>
      </x:c>
      <x:c r="AB19" s="65" t="n">
        <x:f>SUM(H19,J19,L19,N19,P19,R19,T19,V19,X19,Z19)</x:f>
        <x:v>0</x:v>
      </x:c>
      <x:c r="AC19" s="65" t="n">
        <x:f>AA19</x:f>
        <x:v>6</x:v>
      </x:c>
    </x:row>
    <x:row r="20" ht="15" hidden="0" customHeight="1">
      <x:c r="B20" s="64" t="str"/>
      <x:c r="C20" s="64" t="str"/>
      <x:c r="D20" s="64" t="str">
        <x:v>Integrar Gemini API gratuita desde el backend Django</x:v>
      </x:c>
      <x:c r="E20" s="65" t="str">
        <x:v>Ivan Tamayo</x:v>
      </x:c>
      <x:c r="F20" s="65" t="str">
        <x:v>Por iniciar</x:v>
      </x:c>
      <x:c r="G20" s="65" t="n">
        <x:v>10</x:v>
      </x:c>
      <x:c r="H20" s="65" t="n">
        <x:v>0</x:v>
      </x:c>
      <x:c r="I20" s="65" t="n">
        <x:f>G20-H20</x:f>
        <x:v>10</x:v>
      </x:c>
      <x:c r="J20" s="65" t="n">
        <x:v>0</x:v>
      </x:c>
      <x:c r="K20" s="65" t="n">
        <x:f>I20-J20</x:f>
        <x:v>10</x:v>
      </x:c>
      <x:c r="L20" s="65" t="n">
        <x:v>0</x:v>
      </x:c>
      <x:c r="M20" s="65" t="n">
        <x:f>K20-L20</x:f>
        <x:v>10</x:v>
      </x:c>
      <x:c r="N20" s="65" t="n">
        <x:v>0</x:v>
      </x:c>
      <x:c r="O20" s="65" t="n">
        <x:f>M20-N20</x:f>
        <x:v>10</x:v>
      </x:c>
      <x:c r="P20" s="65" t="n">
        <x:v>0</x:v>
      </x:c>
      <x:c r="Q20" s="65" t="n">
        <x:f>O20-P20</x:f>
        <x:v>10</x:v>
      </x:c>
      <x:c r="R20" s="65" t="n">
        <x:v>0</x:v>
      </x:c>
      <x:c r="S20" s="65" t="n">
        <x:f>Q20-R20</x:f>
        <x:v>10</x:v>
      </x:c>
      <x:c r="T20" s="65" t="n">
        <x:v>0</x:v>
      </x:c>
      <x:c r="U20" s="65" t="n">
        <x:f>S20-T20</x:f>
        <x:v>10</x:v>
      </x:c>
      <x:c r="V20" s="65" t="n">
        <x:v>0</x:v>
      </x:c>
      <x:c r="W20" s="65" t="n">
        <x:f>U20-V20</x:f>
        <x:v>10</x:v>
      </x:c>
      <x:c r="X20" s="65" t="n">
        <x:v>0</x:v>
      </x:c>
      <x:c r="Y20" s="65" t="n">
        <x:f>W20-X20</x:f>
        <x:v>10</x:v>
      </x:c>
      <x:c r="Z20" s="65" t="n">
        <x:v>0</x:v>
      </x:c>
      <x:c r="AA20" s="65" t="n">
        <x:f>Y20-Z20</x:f>
        <x:v>10</x:v>
      </x:c>
      <x:c r="AB20" s="65" t="n">
        <x:f>SUM(H20,J20,L20,N20,P20,R20,T20,V20,X20,Z20)</x:f>
        <x:v>0</x:v>
      </x:c>
      <x:c r="AC20" s="65" t="n">
        <x:f>AA20</x:f>
        <x:v>10</x:v>
      </x:c>
    </x:row>
    <x:row r="21" ht="15" hidden="0" customHeight="1">
      <x:c r="B21" s="64" t="str"/>
      <x:c r="C21" s="64" t="str"/>
      <x:c r="D21" s="64" t="str">
        <x:v>Implementar servicio de contexto con información autorizada</x:v>
      </x:c>
      <x:c r="E21" s="65" t="str">
        <x:v>Ivan Tamayo</x:v>
      </x:c>
      <x:c r="F21" s="65" t="str">
        <x:v>Por iniciar</x:v>
      </x:c>
      <x:c r="G21" s="65" t="n">
        <x:v>8</x:v>
      </x:c>
      <x:c r="H21" s="65" t="n">
        <x:v>0</x:v>
      </x:c>
      <x:c r="I21" s="65" t="n">
        <x:f>G21-H21</x:f>
        <x:v>8</x:v>
      </x:c>
      <x:c r="J21" s="65" t="n">
        <x:v>0</x:v>
      </x:c>
      <x:c r="K21" s="65" t="n">
        <x:f>I21-J21</x:f>
        <x:v>8</x:v>
      </x:c>
      <x:c r="L21" s="65" t="n">
        <x:v>0</x:v>
      </x:c>
      <x:c r="M21" s="65" t="n">
        <x:f>K21-L21</x:f>
        <x:v>8</x:v>
      </x:c>
      <x:c r="N21" s="65" t="n">
        <x:v>0</x:v>
      </x:c>
      <x:c r="O21" s="65" t="n">
        <x:f>M21-N21</x:f>
        <x:v>8</x:v>
      </x:c>
      <x:c r="P21" s="65" t="n">
        <x:v>0</x:v>
      </x:c>
      <x:c r="Q21" s="65" t="n">
        <x:f>O21-P21</x:f>
        <x:v>8</x:v>
      </x:c>
      <x:c r="R21" s="65" t="n">
        <x:v>0</x:v>
      </x:c>
      <x:c r="S21" s="65" t="n">
        <x:f>Q21-R21</x:f>
        <x:v>8</x:v>
      </x:c>
      <x:c r="T21" s="65" t="n">
        <x:v>0</x:v>
      </x:c>
      <x:c r="U21" s="65" t="n">
        <x:f>S21-T21</x:f>
        <x:v>8</x:v>
      </x:c>
      <x:c r="V21" s="65" t="n">
        <x:v>0</x:v>
      </x:c>
      <x:c r="W21" s="65" t="n">
        <x:f>U21-V21</x:f>
        <x:v>8</x:v>
      </x:c>
      <x:c r="X21" s="65" t="n">
        <x:v>0</x:v>
      </x:c>
      <x:c r="Y21" s="65" t="n">
        <x:f>W21-X21</x:f>
        <x:v>8</x:v>
      </x:c>
      <x:c r="Z21" s="65" t="n">
        <x:v>0</x:v>
      </x:c>
      <x:c r="AA21" s="65" t="n">
        <x:f>Y21-Z21</x:f>
        <x:v>8</x:v>
      </x:c>
      <x:c r="AB21" s="65" t="n">
        <x:f>SUM(H21,J21,L21,N21,P21,R21,T21,V21,X21,Z21)</x:f>
        <x:v>0</x:v>
      </x:c>
      <x:c r="AC21" s="65" t="n">
        <x:f>AA21</x:f>
        <x:v>8</x:v>
      </x:c>
    </x:row>
    <x:row r="22" ht="15" hidden="0" customHeight="1">
      <x:c r="B22" s="64" t="str"/>
      <x:c r="C22" s="64" t="str"/>
      <x:c r="D22" s="64" t="str">
        <x:v>Diseñar e implementar interfaz de conversación del chatbot</x:v>
      </x:c>
      <x:c r="E22" s="65" t="str">
        <x:v>Rodrigo Romero</x:v>
      </x:c>
      <x:c r="F22" s="65" t="str">
        <x:v>Por iniciar</x:v>
      </x:c>
      <x:c r="G22" s="65" t="n">
        <x:v>8</x:v>
      </x:c>
      <x:c r="H22" s="65" t="n">
        <x:v>0</x:v>
      </x:c>
      <x:c r="I22" s="65" t="n">
        <x:f>G22-H22</x:f>
        <x:v>8</x:v>
      </x:c>
      <x:c r="J22" s="65" t="n">
        <x:v>0</x:v>
      </x:c>
      <x:c r="K22" s="65" t="n">
        <x:f>I22-J22</x:f>
        <x:v>8</x:v>
      </x:c>
      <x:c r="L22" s="65" t="n">
        <x:v>0</x:v>
      </x:c>
      <x:c r="M22" s="65" t="n">
        <x:f>K22-L22</x:f>
        <x:v>8</x:v>
      </x:c>
      <x:c r="N22" s="65" t="n">
        <x:v>0</x:v>
      </x:c>
      <x:c r="O22" s="65" t="n">
        <x:f>M22-N22</x:f>
        <x:v>8</x:v>
      </x:c>
      <x:c r="P22" s="65" t="n">
        <x:v>0</x:v>
      </x:c>
      <x:c r="Q22" s="65" t="n">
        <x:f>O22-P22</x:f>
        <x:v>8</x:v>
      </x:c>
      <x:c r="R22" s="65" t="n">
        <x:v>0</x:v>
      </x:c>
      <x:c r="S22" s="65" t="n">
        <x:f>Q22-R22</x:f>
        <x:v>8</x:v>
      </x:c>
      <x:c r="T22" s="65" t="n">
        <x:v>0</x:v>
      </x:c>
      <x:c r="U22" s="65" t="n">
        <x:f>S22-T22</x:f>
        <x:v>8</x:v>
      </x:c>
      <x:c r="V22" s="65" t="n">
        <x:v>0</x:v>
      </x:c>
      <x:c r="W22" s="65" t="n">
        <x:f>U22-V22</x:f>
        <x:v>8</x:v>
      </x:c>
      <x:c r="X22" s="65" t="n">
        <x:v>0</x:v>
      </x:c>
      <x:c r="Y22" s="65" t="n">
        <x:f>W22-X22</x:f>
        <x:v>8</x:v>
      </x:c>
      <x:c r="Z22" s="65" t="n">
        <x:v>0</x:v>
      </x:c>
      <x:c r="AA22" s="65" t="n">
        <x:f>Y22-Z22</x:f>
        <x:v>8</x:v>
      </x:c>
      <x:c r="AB22" s="65" t="n">
        <x:f>SUM(H22,J22,L22,N22,P22,R22,T22,V22,X22,Z22)</x:f>
        <x:v>0</x:v>
      </x:c>
      <x:c r="AC22" s="65" t="n">
        <x:f>AA22</x:f>
        <x:v>8</x:v>
      </x:c>
    </x:row>
    <x:row r="23" ht="21.600000381469727" hidden="0" customHeight="1">
      <x:c r="B23" s="64" t="str"/>
      <x:c r="C23" s="64" t="str"/>
      <x:c r="D23" s="64" t="str">
        <x:v>Implementar estados de carga, errores y avisos de respuesta orientativa</x:v>
      </x:c>
      <x:c r="E23" s="65" t="str">
        <x:v>Rodrigo Romero</x:v>
      </x:c>
      <x:c r="F23" s="65" t="str">
        <x:v>Por iniciar</x:v>
      </x:c>
      <x:c r="G23" s="65" t="n">
        <x:v>4</x:v>
      </x:c>
      <x:c r="H23" s="65" t="n">
        <x:v>0</x:v>
      </x:c>
      <x:c r="I23" s="65" t="n">
        <x:f>G23-H23</x:f>
        <x:v>4</x:v>
      </x:c>
      <x:c r="J23" s="65" t="n">
        <x:v>0</x:v>
      </x:c>
      <x:c r="K23" s="65" t="n">
        <x:f>I23-J23</x:f>
        <x:v>4</x:v>
      </x:c>
      <x:c r="L23" s="65" t="n">
        <x:v>0</x:v>
      </x:c>
      <x:c r="M23" s="65" t="n">
        <x:f>K23-L23</x:f>
        <x:v>4</x:v>
      </x:c>
      <x:c r="N23" s="65" t="n">
        <x:v>0</x:v>
      </x:c>
      <x:c r="O23" s="65" t="n">
        <x:f>M23-N23</x:f>
        <x:v>4</x:v>
      </x:c>
      <x:c r="P23" s="65" t="n">
        <x:v>0</x:v>
      </x:c>
      <x:c r="Q23" s="65" t="n">
        <x:f>O23-P23</x:f>
        <x:v>4</x:v>
      </x:c>
      <x:c r="R23" s="65" t="n">
        <x:v>0</x:v>
      </x:c>
      <x:c r="S23" s="65" t="n">
        <x:f>Q23-R23</x:f>
        <x:v>4</x:v>
      </x:c>
      <x:c r="T23" s="65" t="n">
        <x:v>0</x:v>
      </x:c>
      <x:c r="U23" s="65" t="n">
        <x:f>S23-T23</x:f>
        <x:v>4</x:v>
      </x:c>
      <x:c r="V23" s="65" t="n">
        <x:v>0</x:v>
      </x:c>
      <x:c r="W23" s="65" t="n">
        <x:f>U23-V23</x:f>
        <x:v>4</x:v>
      </x:c>
      <x:c r="X23" s="65" t="n">
        <x:v>0</x:v>
      </x:c>
      <x:c r="Y23" s="65" t="n">
        <x:f>W23-X23</x:f>
        <x:v>4</x:v>
      </x:c>
      <x:c r="Z23" s="65" t="n">
        <x:v>0</x:v>
      </x:c>
      <x:c r="AA23" s="65" t="n">
        <x:f>Y23-Z23</x:f>
        <x:v>4</x:v>
      </x:c>
      <x:c r="AB23" s="65" t="n">
        <x:f>SUM(H23,J23,L23,N23,P23,R23,T23,V23,X23,Z23)</x:f>
        <x:v>0</x:v>
      </x:c>
      <x:c r="AC23" s="65" t="n">
        <x:f>AA23</x:f>
        <x:v>4</x:v>
      </x:c>
    </x:row>
    <x:row r="24" ht="15" hidden="0" customHeight="1">
      <x:c r="B24" s="64" t="str"/>
      <x:c r="C24" s="64" t="str"/>
      <x:c r="D24" s="64" t="str">
        <x:v>Ejecutar pruebas de privacidad, permisos y datos sensibles</x:v>
      </x:c>
      <x:c r="E24" s="65" t="str">
        <x:v>Richard Diaz</x:v>
      </x:c>
      <x:c r="F24" s="65" t="str">
        <x:v>Por iniciar</x:v>
      </x:c>
      <x:c r="G24" s="65" t="n">
        <x:v>6</x:v>
      </x:c>
      <x:c r="H24" s="65" t="n">
        <x:v>0</x:v>
      </x:c>
      <x:c r="I24" s="65" t="n">
        <x:f>G24-H24</x:f>
        <x:v>6</x:v>
      </x:c>
      <x:c r="J24" s="65" t="n">
        <x:v>0</x:v>
      </x:c>
      <x:c r="K24" s="65" t="n">
        <x:f>I24-J24</x:f>
        <x:v>6</x:v>
      </x:c>
      <x:c r="L24" s="65" t="n">
        <x:v>0</x:v>
      </x:c>
      <x:c r="M24" s="65" t="n">
        <x:f>K24-L24</x:f>
        <x:v>6</x:v>
      </x:c>
      <x:c r="N24" s="65" t="n">
        <x:v>0</x:v>
      </x:c>
      <x:c r="O24" s="65" t="n">
        <x:f>M24-N24</x:f>
        <x:v>6</x:v>
      </x:c>
      <x:c r="P24" s="65" t="n">
        <x:v>0</x:v>
      </x:c>
      <x:c r="Q24" s="65" t="n">
        <x:f>O24-P24</x:f>
        <x:v>6</x:v>
      </x:c>
      <x:c r="R24" s="65" t="n">
        <x:v>0</x:v>
      </x:c>
      <x:c r="S24" s="65" t="n">
        <x:f>Q24-R24</x:f>
        <x:v>6</x:v>
      </x:c>
      <x:c r="T24" s="65" t="n">
        <x:v>0</x:v>
      </x:c>
      <x:c r="U24" s="65" t="n">
        <x:f>S24-T24</x:f>
        <x:v>6</x:v>
      </x:c>
      <x:c r="V24" s="65" t="n">
        <x:v>0</x:v>
      </x:c>
      <x:c r="W24" s="65" t="n">
        <x:f>U24-V24</x:f>
        <x:v>6</x:v>
      </x:c>
      <x:c r="X24" s="65" t="n">
        <x:v>0</x:v>
      </x:c>
      <x:c r="Y24" s="65" t="n">
        <x:f>W24-X24</x:f>
        <x:v>6</x:v>
      </x:c>
      <x:c r="Z24" s="65" t="n">
        <x:v>0</x:v>
      </x:c>
      <x:c r="AA24" s="65" t="n">
        <x:f>Y24-Z24</x:f>
        <x:v>6</x:v>
      </x:c>
      <x:c r="AB24" s="65" t="n">
        <x:f>SUM(H24,J24,L24,N24,P24,R24,T24,V24,X24,Z24)</x:f>
        <x:v>0</x:v>
      </x:c>
      <x:c r="AC24" s="65" t="n">
        <x:f>AA24</x:f>
        <x:v>6</x:v>
      </x:c>
    </x:row>
    <x:row r="25" ht="15" hidden="0" customHeight="1">
      <x:c r="B25" s="64" t="str"/>
      <x:c r="C25" s="64" t="str"/>
      <x:c r="D25" s="64" t="str">
        <x:v>Ejecutar pruebas funcionales de preguntas frecuentes</x:v>
      </x:c>
      <x:c r="E25" s="65" t="str">
        <x:v>Richard Diaz</x:v>
      </x:c>
      <x:c r="F25" s="65" t="str">
        <x:v>Por iniciar</x:v>
      </x:c>
      <x:c r="G25" s="65" t="n">
        <x:v>6</x:v>
      </x:c>
      <x:c r="H25" s="65" t="n">
        <x:v>0</x:v>
      </x:c>
      <x:c r="I25" s="65" t="n">
        <x:f>G25-H25</x:f>
        <x:v>6</x:v>
      </x:c>
      <x:c r="J25" s="65" t="n">
        <x:v>0</x:v>
      </x:c>
      <x:c r="K25" s="65" t="n">
        <x:f>I25-J25</x:f>
        <x:v>6</x:v>
      </x:c>
      <x:c r="L25" s="65" t="n">
        <x:v>0</x:v>
      </x:c>
      <x:c r="M25" s="65" t="n">
        <x:f>K25-L25</x:f>
        <x:v>6</x:v>
      </x:c>
      <x:c r="N25" s="65" t="n">
        <x:v>0</x:v>
      </x:c>
      <x:c r="O25" s="65" t="n">
        <x:f>M25-N25</x:f>
        <x:v>6</x:v>
      </x:c>
      <x:c r="P25" s="65" t="n">
        <x:v>0</x:v>
      </x:c>
      <x:c r="Q25" s="65" t="n">
        <x:f>O25-P25</x:f>
        <x:v>6</x:v>
      </x:c>
      <x:c r="R25" s="65" t="n">
        <x:v>0</x:v>
      </x:c>
      <x:c r="S25" s="65" t="n">
        <x:f>Q25-R25</x:f>
        <x:v>6</x:v>
      </x:c>
      <x:c r="T25" s="65" t="n">
        <x:v>0</x:v>
      </x:c>
      <x:c r="U25" s="65" t="n">
        <x:f>S25-T25</x:f>
        <x:v>6</x:v>
      </x:c>
      <x:c r="V25" s="65" t="n">
        <x:v>0</x:v>
      </x:c>
      <x:c r="W25" s="65" t="n">
        <x:f>U25-V25</x:f>
        <x:v>6</x:v>
      </x:c>
      <x:c r="X25" s="65" t="n">
        <x:v>0</x:v>
      </x:c>
      <x:c r="Y25" s="65" t="n">
        <x:f>W25-X25</x:f>
        <x:v>6</x:v>
      </x:c>
      <x:c r="Z25" s="65" t="n">
        <x:v>0</x:v>
      </x:c>
      <x:c r="AA25" s="65" t="n">
        <x:f>Y25-Z25</x:f>
        <x:v>6</x:v>
      </x:c>
      <x:c r="AB25" s="65" t="n">
        <x:f>SUM(H25,J25,L25,N25,P25,R25,T25,V25,X25,Z25)</x:f>
        <x:v>0</x:v>
      </x:c>
      <x:c r="AC25" s="65" t="n">
        <x:f>AA25</x:f>
        <x:v>6</x:v>
      </x:c>
    </x:row>
    <x:row r="26" ht="15" hidden="0" customHeight="1">
      <x:c r="B26" s="64" t="str"/>
      <x:c r="C26" s="64" t="str"/>
      <x:c r="D26" s="64" t="str">
        <x:v>Preparar casos de demostración/fallback ante límites de la API</x:v>
      </x:c>
      <x:c r="E26" s="65" t="str">
        <x:v>Richard Diaz</x:v>
      </x:c>
      <x:c r="F26" s="65" t="str">
        <x:v>Por iniciar</x:v>
      </x:c>
      <x:c r="G26" s="65" t="n">
        <x:v>4</x:v>
      </x:c>
      <x:c r="H26" s="65" t="n">
        <x:v>0</x:v>
      </x:c>
      <x:c r="I26" s="65" t="n">
        <x:f>G26-H26</x:f>
        <x:v>4</x:v>
      </x:c>
      <x:c r="J26" s="65" t="n">
        <x:v>0</x:v>
      </x:c>
      <x:c r="K26" s="65" t="n">
        <x:f>I26-J26</x:f>
        <x:v>4</x:v>
      </x:c>
      <x:c r="L26" s="65" t="n">
        <x:v>0</x:v>
      </x:c>
      <x:c r="M26" s="65" t="n">
        <x:f>K26-L26</x:f>
        <x:v>4</x:v>
      </x:c>
      <x:c r="N26" s="65" t="n">
        <x:v>0</x:v>
      </x:c>
      <x:c r="O26" s="65" t="n">
        <x:f>M26-N26</x:f>
        <x:v>4</x:v>
      </x:c>
      <x:c r="P26" s="65" t="n">
        <x:v>0</x:v>
      </x:c>
      <x:c r="Q26" s="65" t="n">
        <x:f>O26-P26</x:f>
        <x:v>4</x:v>
      </x:c>
      <x:c r="R26" s="65" t="n">
        <x:v>0</x:v>
      </x:c>
      <x:c r="S26" s="65" t="n">
        <x:f>Q26-R26</x:f>
        <x:v>4</x:v>
      </x:c>
      <x:c r="T26" s="65" t="n">
        <x:v>0</x:v>
      </x:c>
      <x:c r="U26" s="65" t="n">
        <x:f>S26-T26</x:f>
        <x:v>4</x:v>
      </x:c>
      <x:c r="V26" s="65" t="n">
        <x:v>0</x:v>
      </x:c>
      <x:c r="W26" s="65" t="n">
        <x:f>U26-V26</x:f>
        <x:v>4</x:v>
      </x:c>
      <x:c r="X26" s="65" t="n">
        <x:v>0</x:v>
      </x:c>
      <x:c r="Y26" s="65" t="n">
        <x:f>W26-X26</x:f>
        <x:v>4</x:v>
      </x:c>
      <x:c r="Z26" s="65" t="n">
        <x:v>0</x:v>
      </x:c>
      <x:c r="AA26" s="65" t="n">
        <x:f>Y26-Z26</x:f>
        <x:v>4</x:v>
      </x:c>
      <x:c r="AB26" s="65" t="n">
        <x:f>SUM(H26,J26,L26,N26,P26,R26,T26,V26,X26,Z26)</x:f>
        <x:v>0</x:v>
      </x:c>
      <x:c r="AC26" s="65" t="n">
        <x:f>AA26</x:f>
        <x:v>4</x:v>
      </x:c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26">
    <x:cfRule type="expression" dxfId="27" priority="1">
      <x:formula>F6="Hecho"</x:formula>
    </x:cfRule>
    <x:cfRule type="expression" dxfId="28" priority="2">
      <x:formula>F6="En proceso"</x:formula>
    </x:cfRule>
    <x:cfRule type="expression" dxfId="29" priority="3">
      <x:formula>F6="Por iniciar"</x:formula>
    </x:cfRule>
  </x:conditionalFormatting>
  <x:dataValidations count="2">
    <x:dataValidation type="list" sqref="E6:E26">
      <x:formula1>"Ivan Tamayo,Rodrigo Romero,Richard Diaz,Por definir"</x:formula1>
    </x:dataValidation>
    <x:dataValidation type="list" sqref="F6:F26">
      <x:formula1>"Por iniciar,En proceso,Hecho"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32" hidden="0" customWidth="1"/>
    <x:col min="3" max="3" width="90" hidden="0" customWidth="1"/>
  </x:cols>
  <x:sheetData>
    <x:row r="1">
      <x:c r="B1" s="51" t="str">
        <x:v>Lista de tareas de la iteración (Sprint Backlog): Instructivo</x:v>
      </x:c>
      <x:c r="C1" s="51"/>
    </x:row>
    <x:row r="3">
      <x:c r="B3" s="55" t="str">
        <x:v>Columna</x:v>
      </x:c>
      <x:c r="C3" s="55" t="str">
        <x:v>Instrucciones</x:v>
      </x:c>
    </x:row>
    <x:row r="4" ht="26.399999618530273" hidden="0" customHeight="1">
      <x:c r="B4" s="60" t="str">
        <x:v>Identificador (ID) de item de Product Backlog</x:v>
      </x:c>
      <x:c r="C4" s="60" t="str">
        <x:v>Código de la Historia de Usuario del Product Backlog a la cual pertenece la tarea.</x:v>
      </x:c>
    </x:row>
    <x:row r="5" ht="15" hidden="0" customHeight="1">
      <x:c r="B5" s="60" t="str">
        <x:v>Enunciado del item de Product Backlog</x:v>
      </x:c>
      <x:c r="C5" s="60" t="str">
        <x:v>Enunciado de la Historia de Usuario; se mantiene para conservar trazabilidad.</x:v>
      </x:c>
    </x:row>
    <x:row r="6" ht="15" hidden="0" customHeight="1">
      <x:c r="B6" s="60" t="str">
        <x:v>Tarea</x:v>
      </x:c>
      <x:c r="C6" s="60" t="str">
        <x:v>Actividad mínima planificada para completar la HU: diseño, backend, frontend, integración, pruebas u otra.</x:v>
      </x:c>
    </x:row>
    <x:row r="7" ht="15" hidden="0" customHeight="1">
      <x:c r="B7" s="60" t="str">
        <x:v>Dueño / Voluntario</x:v>
      </x:c>
      <x:c r="C7" s="60" t="str">
        <x:v>Responsable inicial propuesto según los roles del equipo. Puede modificarse durante el Sprint.</x:v>
      </x:c>
    </x:row>
    <x:row r="8" ht="15" hidden="0" customHeight="1">
      <x:c r="B8" s="60" t="str">
        <x:v>Estatus</x:v>
      </x:c>
      <x:c r="C8" s="60" t="str">
        <x:v>Por iniciar, En proceso o Hecho.</x:v>
      </x:c>
    </x:row>
    <x:row r="9" ht="26.399999618530273" hidden="0" customHeight="1">
      <x:c r="B9" s="60" t="str">
        <x:v>Horas estimadas</x:v>
      </x:c>
      <x:c r="C9" s="60" t="str">
        <x:v>Estimación inicial. Se usó como referencia académica 4 horas de esfuerzo de equipo por Story Point, distribuidas entre las tareas.</x:v>
      </x:c>
    </x:row>
    <x:row r="10" ht="15" hidden="0" customHeight="1">
      <x:c r="B10" s="60" t="str">
        <x:v>Día 1 a Día 10</x:v>
      </x:c>
      <x:c r="C10" s="60" t="str">
        <x:v>Cada Sprint dura 2 semanas y se controla mediante 10 días hábiles.</x:v>
      </x:c>
    </x:row>
    <x:row r="11" ht="15" hidden="0" customHeight="1">
      <x:c r="B11" s="60" t="str">
        <x:v>Cons.</x:v>
      </x:c>
      <x:c r="C11" s="60" t="str">
        <x:v>Horas consumidas durante ese día.</x:v>
      </x:c>
    </x:row>
    <x:row r="12" ht="15" hidden="0" customHeight="1">
      <x:c r="B12" s="60" t="str">
        <x:v>Rest.</x:v>
      </x:c>
      <x:c r="C12" s="60" t="str">
        <x:v>Horas restantes calculadas automáticamente a partir del estimado y del consumo diario.</x:v>
      </x:c>
    </x:row>
    <x:row r="13" ht="15" hidden="0" customHeight="1">
      <x:c r="B13" s="60" t="str">
        <x:v>Total</x:v>
      </x:c>
      <x:c r="C13" s="60" t="str">
        <x:v>Suma de horas consumidas y horas restantes al término del Sprint.</x:v>
      </x:c>
    </x:row>
    <x:row r="14" ht="26.399999618530273" hidden="0" customHeight="1">
      <x:c r="B14" s="60" t="str">
        <x:v>Responsables</x:v>
      </x:c>
      <x:c r="C14" s="60" t="str">
        <x:v>Ivan Tamayo: Scrum Master / Backend y Base de Datos. Rodrigo Romero: Frontend / UX-UI. Richard Diaz: Backend / QA y Pruebas.</x:v>
      </x:c>
    </x:row>
    <x:row r="15" ht="26.399999618530273" hidden="0" customHeight="1">
      <x:c r="B15" s="60" t="str">
        <x:v>Nota de planificación</x:v>
      </x:c>
      <x:c r="C15" s="60" t="str">
        <x:v>Esta es una línea base previa al desarrollo. Tareas, responsables y horas pueden ajustarse durante Sprint Planning o según la velocidad real del equipo.</x:v>
      </x:c>
    </x:row>
  </x:sheetData>
  <x:mergeCells>
    <x:mergeCell ref="B1:C1"/>
  </x:mergeCells>
  <x:pageMargins left="0.7" right="0.7" top="0.75" bottom="0.75" header="0.3" footer="0.3"/>
</x:worksheet>
</file>